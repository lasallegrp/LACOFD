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LoganWilliams/Desktop/Lab_Work/LaSalle_Lab/LACOFD_Study/SampleInfo/"/>
    </mc:Choice>
  </mc:AlternateContent>
  <xr:revisionPtr revIDLastSave="0" documentId="13_ncr:1_{711D1A85-CA7A-B84F-A57A-C818BF1C49DE}" xr6:coauthVersionLast="47" xr6:coauthVersionMax="47" xr10:uidLastSave="{00000000-0000-0000-0000-000000000000}"/>
  <bookViews>
    <workbookView xWindow="0" yWindow="620" windowWidth="35840" windowHeight="19920" firstSheet="1" activeTab="12" xr2:uid="{00000000-000D-0000-FFFF-FFFF00000000}"/>
  </bookViews>
  <sheets>
    <sheet name="ConsolidatedSampleManifest" sheetId="1" r:id="rId1"/>
    <sheet name="Rand.ConsolidatedSampleManifest" sheetId="3" r:id="rId2"/>
    <sheet name="Batch1" sheetId="2" r:id="rId3"/>
    <sheet name="Batch2" sheetId="4" r:id="rId4"/>
    <sheet name="Batch3" sheetId="5" r:id="rId5"/>
    <sheet name="Batch4" sheetId="6" r:id="rId6"/>
    <sheet name="Batch5" sheetId="7" r:id="rId7"/>
    <sheet name="Batch6" sheetId="8" r:id="rId8"/>
    <sheet name="AllBatchesQubitQuant" sheetId="9" r:id="rId9"/>
    <sheet name="AllBatchesSizeSelection_1218202" sheetId="10" r:id="rId10"/>
    <sheet name="LibraryPrepSubmission" sheetId="11" r:id="rId11"/>
    <sheet name="SamplesToTraces" sheetId="12" r:id="rId12"/>
    <sheet name="LibraryIDsToSampleInfo" sheetId="13" r:id="rId13"/>
  </sheets>
  <definedNames>
    <definedName name="_xlnm._FilterDatabase" localSheetId="8" hidden="1">AllBatchesQubitQuant!$A$1:$S$138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3" i="11" l="1"/>
  <c r="H134" i="11"/>
  <c r="H135" i="11"/>
  <c r="H13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2" i="11"/>
  <c r="J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2" i="10"/>
  <c r="T265" i="9"/>
  <c r="T266" i="9"/>
  <c r="T267" i="9"/>
  <c r="T269" i="9"/>
  <c r="T270" i="9"/>
  <c r="T271" i="9"/>
  <c r="T272" i="9"/>
  <c r="T273" i="9"/>
  <c r="T274" i="9"/>
  <c r="T275" i="9"/>
  <c r="T276" i="9"/>
  <c r="T277" i="9"/>
  <c r="T279" i="9"/>
  <c r="T280" i="9"/>
  <c r="T281" i="9"/>
  <c r="T282" i="9"/>
  <c r="T283" i="9"/>
  <c r="T284" i="9"/>
  <c r="T285" i="9"/>
  <c r="T286" i="9"/>
  <c r="T264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143" i="9"/>
  <c r="S82" i="9"/>
  <c r="S12" i="9"/>
  <c r="S22" i="9"/>
  <c r="S15" i="9"/>
  <c r="S17" i="9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" i="8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" i="7"/>
  <c r="N13" i="7"/>
  <c r="N14" i="7"/>
  <c r="N15" i="7"/>
  <c r="N3" i="7"/>
  <c r="N4" i="7"/>
  <c r="N5" i="7"/>
  <c r="N6" i="7"/>
  <c r="N7" i="7"/>
  <c r="N8" i="7"/>
  <c r="N10" i="7"/>
  <c r="N11" i="7"/>
  <c r="N12" i="7"/>
  <c r="N17" i="7"/>
  <c r="N18" i="7"/>
  <c r="N19" i="7"/>
  <c r="N20" i="7"/>
  <c r="N21" i="7"/>
  <c r="N22" i="7"/>
  <c r="N25" i="7"/>
  <c r="N2" i="7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" i="6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" i="4"/>
  <c r="O2" i="4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" i="8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" i="7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" i="6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" i="4"/>
  <c r="N169" i="2"/>
  <c r="N172" i="2"/>
  <c r="N174" i="2"/>
  <c r="N168" i="2"/>
  <c r="L169" i="2"/>
  <c r="L172" i="2"/>
  <c r="L174" i="2"/>
  <c r="L168" i="2"/>
  <c r="M169" i="2"/>
  <c r="M172" i="2"/>
  <c r="M174" i="2"/>
  <c r="M168" i="2"/>
  <c r="W112" i="2"/>
  <c r="V113" i="2"/>
  <c r="W113" i="2" s="1"/>
  <c r="V116" i="2"/>
  <c r="W116" i="2" s="1"/>
  <c r="V120" i="2"/>
  <c r="W120" i="2" s="1"/>
  <c r="V124" i="2"/>
  <c r="W124" i="2" s="1"/>
  <c r="V129" i="2"/>
  <c r="W129" i="2" s="1"/>
  <c r="V130" i="2"/>
  <c r="W130" i="2" s="1"/>
  <c r="V131" i="2"/>
  <c r="W131" i="2" s="1"/>
  <c r="V111" i="2"/>
  <c r="W111" i="2" s="1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31" i="2"/>
  <c r="H29" i="2"/>
  <c r="I29" i="2" s="1"/>
  <c r="P15" i="2"/>
  <c r="M4" i="2"/>
  <c r="S4" i="2" s="1"/>
  <c r="M5" i="2"/>
  <c r="S5" i="2" s="1"/>
  <c r="M6" i="2"/>
  <c r="Q6" i="2" s="1"/>
  <c r="M7" i="2"/>
  <c r="Q7" i="2" s="1"/>
  <c r="M8" i="2"/>
  <c r="N8" i="2" s="1"/>
  <c r="M9" i="2"/>
  <c r="N9" i="2" s="1"/>
  <c r="M10" i="2"/>
  <c r="N10" i="2" s="1"/>
  <c r="M11" i="2"/>
  <c r="N11" i="2" s="1"/>
  <c r="M12" i="2"/>
  <c r="Q12" i="2" s="1"/>
  <c r="M13" i="2"/>
  <c r="S13" i="2" s="1"/>
  <c r="M14" i="2"/>
  <c r="R14" i="2" s="1"/>
  <c r="M15" i="2"/>
  <c r="S15" i="2" s="1"/>
  <c r="M16" i="2"/>
  <c r="P16" i="2" s="1"/>
  <c r="M17" i="2"/>
  <c r="P17" i="2" s="1"/>
  <c r="M18" i="2"/>
  <c r="S18" i="2" s="1"/>
  <c r="M19" i="2"/>
  <c r="S19" i="2" s="1"/>
  <c r="M20" i="2"/>
  <c r="S20" i="2" s="1"/>
  <c r="M21" i="2"/>
  <c r="S21" i="2" s="1"/>
  <c r="M22" i="2"/>
  <c r="S22" i="2" s="1"/>
  <c r="M23" i="2"/>
  <c r="Q23" i="2" s="1"/>
  <c r="M24" i="2"/>
  <c r="Q24" i="2" s="1"/>
  <c r="M25" i="2"/>
  <c r="N25" i="2" s="1"/>
  <c r="M26" i="2"/>
  <c r="M3" i="2"/>
  <c r="Q3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3" i="2"/>
  <c r="P21" i="2" l="1"/>
  <c r="P4" i="2"/>
  <c r="Q15" i="2"/>
  <c r="R15" i="2"/>
  <c r="R5" i="2"/>
  <c r="P18" i="2"/>
  <c r="Q19" i="2"/>
  <c r="Q18" i="2"/>
  <c r="R16" i="2"/>
  <c r="R8" i="2"/>
  <c r="Q14" i="2"/>
  <c r="Q13" i="2"/>
  <c r="P3" i="2"/>
  <c r="P25" i="2"/>
  <c r="P24" i="2"/>
  <c r="R13" i="2"/>
  <c r="P23" i="2"/>
  <c r="P22" i="2"/>
  <c r="R6" i="2"/>
  <c r="S17" i="2"/>
  <c r="Q17" i="2"/>
  <c r="Q16" i="2"/>
  <c r="R7" i="2"/>
  <c r="P20" i="2"/>
  <c r="P19" i="2"/>
  <c r="R4" i="2"/>
  <c r="R23" i="2"/>
  <c r="R24" i="2"/>
  <c r="N19" i="2"/>
  <c r="N18" i="2"/>
  <c r="P10" i="2"/>
  <c r="R22" i="2"/>
  <c r="N17" i="2"/>
  <c r="P9" i="2"/>
  <c r="R21" i="2"/>
  <c r="N16" i="2"/>
  <c r="P8" i="2"/>
  <c r="R20" i="2"/>
  <c r="N15" i="2"/>
  <c r="P7" i="2"/>
  <c r="R19" i="2"/>
  <c r="N14" i="2"/>
  <c r="P6" i="2"/>
  <c r="R18" i="2"/>
  <c r="N13" i="2"/>
  <c r="P5" i="2"/>
  <c r="R17" i="2"/>
  <c r="Q11" i="2"/>
  <c r="S24" i="2"/>
  <c r="N24" i="2"/>
  <c r="Q22" i="2"/>
  <c r="N23" i="2"/>
  <c r="N7" i="2"/>
  <c r="P14" i="2"/>
  <c r="Q21" i="2"/>
  <c r="Q5" i="2"/>
  <c r="R12" i="2"/>
  <c r="N22" i="2"/>
  <c r="N6" i="2"/>
  <c r="P13" i="2"/>
  <c r="Q20" i="2"/>
  <c r="Q4" i="2"/>
  <c r="R11" i="2"/>
  <c r="N12" i="2"/>
  <c r="N21" i="2"/>
  <c r="N5" i="2"/>
  <c r="P12" i="2"/>
  <c r="R3" i="2"/>
  <c r="R10" i="2"/>
  <c r="N20" i="2"/>
  <c r="N4" i="2"/>
  <c r="P11" i="2"/>
  <c r="R25" i="2"/>
  <c r="R9" i="2"/>
  <c r="S16" i="2"/>
  <c r="S14" i="2"/>
  <c r="S12" i="2"/>
  <c r="S11" i="2"/>
  <c r="S3" i="2"/>
  <c r="S10" i="2"/>
  <c r="S9" i="2"/>
  <c r="S8" i="2"/>
  <c r="S7" i="2"/>
  <c r="S6" i="2"/>
  <c r="S25" i="2"/>
  <c r="Q10" i="2"/>
  <c r="Q25" i="2"/>
  <c r="Q9" i="2"/>
  <c r="S23" i="2"/>
  <c r="N3" i="2"/>
  <c r="Q8" i="2"/>
</calcChain>
</file>

<file path=xl/sharedStrings.xml><?xml version="1.0" encoding="utf-8"?>
<sst xmlns="http://schemas.openxmlformats.org/spreadsheetml/2006/main" count="9438" uniqueCount="970">
  <si>
    <t>Specimen.ID</t>
  </si>
  <si>
    <t>Combined_Total_Aliquot_Volume</t>
  </si>
  <si>
    <t>Aliquot_Positions</t>
  </si>
  <si>
    <t>Secondary.ID</t>
  </si>
  <si>
    <t>Career.Status</t>
  </si>
  <si>
    <t>Matrix</t>
  </si>
  <si>
    <t>Aliquot.#</t>
  </si>
  <si>
    <t>Pair.#</t>
  </si>
  <si>
    <t>Timepoint</t>
  </si>
  <si>
    <t>Notes</t>
  </si>
  <si>
    <t>BAS-17180</t>
  </si>
  <si>
    <t>FFCCS Plasma Aliquot 1 Box 1_E8</t>
  </si>
  <si>
    <t>Instructor</t>
  </si>
  <si>
    <t>EDTA Plasma</t>
  </si>
  <si>
    <t>not paired - baseline</t>
  </si>
  <si>
    <t>No Barcode</t>
  </si>
  <si>
    <t>BAS-17181</t>
  </si>
  <si>
    <t>FFCCS Plasma Aliquot 1 Box 1_E9</t>
  </si>
  <si>
    <t>BAS-17183</t>
  </si>
  <si>
    <t>FFCCS Plasma Aliquot 1 Box 1_F1</t>
  </si>
  <si>
    <t>BAS-17189</t>
  </si>
  <si>
    <t>FFCCS Plasma Aliquot 1 Box 1_F2</t>
  </si>
  <si>
    <t>baseline</t>
  </si>
  <si>
    <t>BAS-17190</t>
  </si>
  <si>
    <t>FFCCS Plasma Aliquot 1 Box 1_F3</t>
  </si>
  <si>
    <t>BAS-17191</t>
  </si>
  <si>
    <t>FFCCS Plasma Aliquot 1 Box 1_F4</t>
  </si>
  <si>
    <t>BAS-17192</t>
  </si>
  <si>
    <t>FFCCS Plasma Aliquot 1 Box 1_F5</t>
  </si>
  <si>
    <t>BAS-17193</t>
  </si>
  <si>
    <t>FFCCS Plasma Aliquot 1 Box 1_F6</t>
  </si>
  <si>
    <t>BAS-17194</t>
  </si>
  <si>
    <t>FFCCS Plasma Aliquot 1 Box 1_F7</t>
  </si>
  <si>
    <t>BAS-17197</t>
  </si>
  <si>
    <t>FFCCS Plasma Aliquot 1 Box 1_F8</t>
  </si>
  <si>
    <t>BAS-17199</t>
  </si>
  <si>
    <t>FFCCS Plasma Aliquot 1 Box 1_F9</t>
  </si>
  <si>
    <t>BAS-17200</t>
  </si>
  <si>
    <t>FFCCS Plasma Aliquot 1 Box 1_G1</t>
  </si>
  <si>
    <t>BAS-17203</t>
  </si>
  <si>
    <t>FFCCS Plasma Aliquot 1 Box 1_G2</t>
  </si>
  <si>
    <t>BAS-17205</t>
  </si>
  <si>
    <t>FFCCS Plasma Aliquot 1 Box 1_G3</t>
  </si>
  <si>
    <t>BAS-17206</t>
  </si>
  <si>
    <t>FFCCS Plasma Aliquot 1 Box 1_G4</t>
  </si>
  <si>
    <t>BAS-17207</t>
  </si>
  <si>
    <t>FFCCS Plasma Aliquot 1 Box 1_G5</t>
  </si>
  <si>
    <t>BAS-17208</t>
  </si>
  <si>
    <t>FFCCS Plasma Aliquot 1 Box 1_G6</t>
  </si>
  <si>
    <t>BAS-17209</t>
  </si>
  <si>
    <t>FFCCS Plasma Aliquot 1 Box 1_G7</t>
  </si>
  <si>
    <t>BAS-17210</t>
  </si>
  <si>
    <t>FFCCS Plasma Aliquot 1 Box 1_G8</t>
  </si>
  <si>
    <t>BAS-17211</t>
  </si>
  <si>
    <t>FFCCS Plasma Aliquot 1 Box 1_G9</t>
  </si>
  <si>
    <t>BAS-17212</t>
  </si>
  <si>
    <t>FFCCS Plasma Aliquot 1 Box 1_H1</t>
  </si>
  <si>
    <t>BAS-17213</t>
  </si>
  <si>
    <t>FFCCS Plasma Aliquot 1 Box 1_H2</t>
  </si>
  <si>
    <t>BAS-17227</t>
  </si>
  <si>
    <t>FFCCS Plasma Aliquot 1 Box 1_H3</t>
  </si>
  <si>
    <t>BAS-17242</t>
  </si>
  <si>
    <t>FFCCS Plasma Aliquot 1 Box 1_H4</t>
  </si>
  <si>
    <t>BAS-17252</t>
  </si>
  <si>
    <t>FFCCS Plasma Aliquot 1 Box 1_H5</t>
  </si>
  <si>
    <t>BAS-17253</t>
  </si>
  <si>
    <t>FFCCS Plasma Aliquot 1 Box 1_H6</t>
  </si>
  <si>
    <t>BAS-17254</t>
  </si>
  <si>
    <t>FFCCS Plasma Aliquot 1 Box 1_H7</t>
  </si>
  <si>
    <t>BAS-17255</t>
  </si>
  <si>
    <t>FFCCS Plasma Aliquot 1 Box 1_H8</t>
  </si>
  <si>
    <t>BAS-17261</t>
  </si>
  <si>
    <t>FFCCS Plasma Aliquot 1 Box 1_H9</t>
  </si>
  <si>
    <t>BAS-17262</t>
  </si>
  <si>
    <t>FFCCS Plasma Aliquot 1 Box 1_I1</t>
  </si>
  <si>
    <t>BAS-17912</t>
  </si>
  <si>
    <t>FFCCS Plasma Aliquot 1 Box 2_D4</t>
  </si>
  <si>
    <t>BAS-18052</t>
  </si>
  <si>
    <t>FFCCS Plasma Aliquot 1 Box 1_A1</t>
  </si>
  <si>
    <t>BAS-18052-ED_PL-1</t>
  </si>
  <si>
    <t>BAS-18649</t>
  </si>
  <si>
    <t>FFCCS Plasma Aliquot 1 Box 1_E7; FFCCS Plasma Aliquot 2 Box 1_E7</t>
  </si>
  <si>
    <t>BAS-18649-EDTA_Pla-1</t>
  </si>
  <si>
    <t>pre-exposure</t>
  </si>
  <si>
    <t>BAS-18790</t>
  </si>
  <si>
    <t>FFCCS Plasma Aliquot 1 Box 1_A2; FFCCS Plasma Aliquot 2 Box 1_A1</t>
  </si>
  <si>
    <t>BAS-18790-ED_PL-1</t>
  </si>
  <si>
    <t>Recruit</t>
  </si>
  <si>
    <t>BAS-18791</t>
  </si>
  <si>
    <t>FFCCS Plasma Aliquot 1 Box 1_A3; FFCCS Plasma Aliquot 2 Box 1_A2</t>
  </si>
  <si>
    <t>BAS-18791-ED_PL-1</t>
  </si>
  <si>
    <t>BAS-18792</t>
  </si>
  <si>
    <t>FFCCS Plasma Aliquot 1 Box 1_A4; FFCCS Plasma Aliquot 2 Box 1_A3</t>
  </si>
  <si>
    <t>BAS-18792-ED_PL-1</t>
  </si>
  <si>
    <t>BAS-18793</t>
  </si>
  <si>
    <t>FFCCS Plasma Aliquot 1 Box 1_A5; FFCCS Plasma Aliquot 2 Box 1_A4</t>
  </si>
  <si>
    <t>BAS-18793-ED_PL-1</t>
  </si>
  <si>
    <t>BAS-18795</t>
  </si>
  <si>
    <t>FFCCS Plasma Aliquot 1 Box 1_A6; FFCCS Plasma Aliquot 2 Box 1_A5</t>
  </si>
  <si>
    <t>BAS-18795-ED_PL-1</t>
  </si>
  <si>
    <t>BAS-18796</t>
  </si>
  <si>
    <t>FFCCS Plasma Aliquot 1 Box 1_A7; FFCCS Plasma Aliquot 2 Box 1_A6</t>
  </si>
  <si>
    <t>BAS-18796-ED_PL-1</t>
  </si>
  <si>
    <t>BAS-18797</t>
  </si>
  <si>
    <t>FFCCS Plasma Aliquot 1 Box 1_A8; FFCCS Plasma Aliquot 2 Box 1_A7</t>
  </si>
  <si>
    <t>BAS-18797-ED_PL-1</t>
  </si>
  <si>
    <t>BAS-18798</t>
  </si>
  <si>
    <t>FFCCS Plasma Aliquot 1 Box 1_A9; FFCCS Plasma Aliquot 2 Box 1_A8</t>
  </si>
  <si>
    <t>BAS-18798-ED_PL-1</t>
  </si>
  <si>
    <t>BAS-18799</t>
  </si>
  <si>
    <t>FFCCS Plasma Aliquot 1 Box 1_B1; FFCCS Plasma Aliquot 2 Box 1_A9</t>
  </si>
  <si>
    <t>BAS-18799-ED_PL-1</t>
  </si>
  <si>
    <t>BAS-18800</t>
  </si>
  <si>
    <t>FFCCS Plasma Aliquot 1 Box 1_B2; FFCCS Plasma Aliquot 2 Box 1_B1</t>
  </si>
  <si>
    <t>BAS-18800-ED_PL-1</t>
  </si>
  <si>
    <t>BAS-18826</t>
  </si>
  <si>
    <t>FFCCS Plasma Aliquot 1 Box 1_B3; FFCCS Plasma Aliquot 2 Box 1_B2</t>
  </si>
  <si>
    <t>BAS-18826-ED_PL-1</t>
  </si>
  <si>
    <t>BAS-18827</t>
  </si>
  <si>
    <t>FFCCS Plasma Aliquot 1 Box 1_B4; FFCCS Plasma Aliquot 2 Box 1_B3</t>
  </si>
  <si>
    <t>BAS-18827-ED_PL-1</t>
  </si>
  <si>
    <t>BAS-18828</t>
  </si>
  <si>
    <t>FFCCS Plasma Aliquot 1 Box 1_B5; FFCCS Plasma Aliquot 2 Box 1_B4</t>
  </si>
  <si>
    <t>BAS-18828-ED_PL-1</t>
  </si>
  <si>
    <t>BAS-18830</t>
  </si>
  <si>
    <t>FFCCS Plasma Aliquot 1 Box 1_B6; FFCCS Plasma Aliquot 2 Box 1_B5</t>
  </si>
  <si>
    <t>BAS-18830-ED_PL-1</t>
  </si>
  <si>
    <t>BAS-18831</t>
  </si>
  <si>
    <t>FFCCS Plasma Aliquot 1 Box 1_B7; FFCCS Plasma Aliquot 2 Box 1_B6</t>
  </si>
  <si>
    <t>BAS-18831-ED_PL-1</t>
  </si>
  <si>
    <t>BAS-18832</t>
  </si>
  <si>
    <t>FFCCS Plasma Aliquot 1 Box 1_B8; FFCCS Plasma Aliquot 2 Box 1_B7</t>
  </si>
  <si>
    <t>BAS-18832-ED_PL-1</t>
  </si>
  <si>
    <t>BAS-18833</t>
  </si>
  <si>
    <t>FFCCS Plasma Aliquot 1 Box 1_B9; FFCCS Plasma Aliquot 2 Box 1_B8</t>
  </si>
  <si>
    <t>BAS-18833-ED_PL-1</t>
  </si>
  <si>
    <t>BAS-18834</t>
  </si>
  <si>
    <t>FFCCS Plasma Aliquot 1 Box 1_C1; FFCCS Plasma Aliquot 2 Box 1_B9</t>
  </si>
  <si>
    <t>BAS-18834-ED_PL-1</t>
  </si>
  <si>
    <t>BAS-18835</t>
  </si>
  <si>
    <t>FFCCS Plasma Aliquot 1 Box 1_D6; FFCCS Plasma Aliquot 2 Box 1_D6</t>
  </si>
  <si>
    <t>BAS-18835-ED_PL-1</t>
  </si>
  <si>
    <t>BAS-18836</t>
  </si>
  <si>
    <t>FFCCS Plasma Aliquot 1 Box 1_C2; FFCCS Plasma Aliquot 2 Box 1_C1</t>
  </si>
  <si>
    <t>BAS-18836-ED_PL-1</t>
  </si>
  <si>
    <t>BAS-18837</t>
  </si>
  <si>
    <t>FFCCS Plasma Aliquot 1 Box 1_C3; FFCCS Plasma Aliquot 2 Box 1_C2</t>
  </si>
  <si>
    <t>BAS-18837-ED_PL-1</t>
  </si>
  <si>
    <t>BAS-18838</t>
  </si>
  <si>
    <t>FFCCS Plasma Aliquot 1 Box 1_C4; FFCCS Plasma Aliquot 2 Box 1_C3</t>
  </si>
  <si>
    <t>BAS-18838-ED_PL-1</t>
  </si>
  <si>
    <t>BAS-18839</t>
  </si>
  <si>
    <t>FFCCS Plasma Aliquot 1 Box 1_C5; FFCCS Plasma Aliquot 2 Box 1_C4</t>
  </si>
  <si>
    <t>BAS-18839-ED_PL-1</t>
  </si>
  <si>
    <t>BAS-18840</t>
  </si>
  <si>
    <t>FFCCS Plasma Aliquot 1 Box 1_C6; FFCCS Plasma Aliquot 2 Box 1_C5</t>
  </si>
  <si>
    <t>BAS-18840-ED_PL-1</t>
  </si>
  <si>
    <t>BAS-18841</t>
  </si>
  <si>
    <t>FFCCS Plasma Aliquot 1 Box 1_C7; FFCCS Plasma Aliquot 2 Box 1_C6</t>
  </si>
  <si>
    <t>BAS-18841-ED_PL-1</t>
  </si>
  <si>
    <t>BAS-18842</t>
  </si>
  <si>
    <t>FFCCS Plasma Aliquot 2 Box 1_C7</t>
  </si>
  <si>
    <t>BAS-18842-ED_PL-2</t>
  </si>
  <si>
    <t>BAS-18844</t>
  </si>
  <si>
    <t>FFCCS Plasma Aliquot 1 Box 1_C8; FFCCS Plasma Aliquot 2 Box 1_C8</t>
  </si>
  <si>
    <t>BAS-18844-ED_PL-1</t>
  </si>
  <si>
    <t>BAS-18845</t>
  </si>
  <si>
    <t>FFCCS Plasma Aliquot 1 Box 1_C9; FFCCS Plasma Aliquot 2 Box 1_C9</t>
  </si>
  <si>
    <t>BAS-18845-ED_PL-1</t>
  </si>
  <si>
    <t>BAS-21935</t>
  </si>
  <si>
    <t>FFCCS Plasma Aliquot 2 Box 1_F5</t>
  </si>
  <si>
    <t>BAS-21935-ED_PL-2</t>
  </si>
  <si>
    <t>BAS-21936</t>
  </si>
  <si>
    <t>FFCCS Plasma Aliquot 2 Box 1_F6</t>
  </si>
  <si>
    <t>BAS-21936-ED_PL-2</t>
  </si>
  <si>
    <t>BAS-21937</t>
  </si>
  <si>
    <t>FFCCS Plasma Aliquot 2 Box 1_F7</t>
  </si>
  <si>
    <t>BAS-21937-ED_PL-2</t>
  </si>
  <si>
    <t>BAS-21938</t>
  </si>
  <si>
    <t>FFCCS Plasma Aliquot 2 Box 1_F8</t>
  </si>
  <si>
    <t>BAS-21938-ED_PL-2</t>
  </si>
  <si>
    <t>BAS-21939</t>
  </si>
  <si>
    <t>FFCCS Plasma Aliquot 2 Box 1_F9</t>
  </si>
  <si>
    <t>BAS-21939-ED_PL-2</t>
  </si>
  <si>
    <t>BAS-21940</t>
  </si>
  <si>
    <t>FFCCS Plasma Aliquot 2 Box 1_G1</t>
  </si>
  <si>
    <t>BAS-21940-ED_PL-2</t>
  </si>
  <si>
    <t>BAS-21941</t>
  </si>
  <si>
    <t>FFCCS Plasma Aliquot 2 Box 1_G2</t>
  </si>
  <si>
    <t>BAS-21941-ED_PL-2</t>
  </si>
  <si>
    <t>BAS-21942</t>
  </si>
  <si>
    <t>FFCCS Plasma Aliquot 2 Box 1_G3</t>
  </si>
  <si>
    <t>BAS-21942-ED_PL-2</t>
  </si>
  <si>
    <t>BAS-21943</t>
  </si>
  <si>
    <t>FFCCS Plasma Aliquot 2 Box 1_G4</t>
  </si>
  <si>
    <t>BAS-21943-ED_PL-2</t>
  </si>
  <si>
    <t>BAS-21944</t>
  </si>
  <si>
    <t>FFCCS Plasma Aliquot 2 Box 1_G5</t>
  </si>
  <si>
    <t>BAS-21944-ED_PL-2</t>
  </si>
  <si>
    <t>BAS-21945</t>
  </si>
  <si>
    <t>FFCCS Plasma Aliquot 2 Box 1_G6</t>
  </si>
  <si>
    <t>BAS-21945-ED_PL-2</t>
  </si>
  <si>
    <t>BAS-22006</t>
  </si>
  <si>
    <t>FFCCS Plasma Aliquot 2 Box 1_G7</t>
  </si>
  <si>
    <t>BAS-22006-ED_PL-2</t>
  </si>
  <si>
    <t>BAS-22452</t>
  </si>
  <si>
    <t>FFCCS Plasma Aliquot 2 Box 1_G8</t>
  </si>
  <si>
    <t>BAS-22452-ED_PL-2</t>
  </si>
  <si>
    <t>BAS-22455</t>
  </si>
  <si>
    <t>FFCCS Plasma Aliquot 2 Box 1_G9</t>
  </si>
  <si>
    <t>BAS-22455-ED_PL-2</t>
  </si>
  <si>
    <t>BAS-22456</t>
  </si>
  <si>
    <t>FFCCS Plasma Aliquot 1 Box 2_D5; FFCCS Plasma Aliquot 2 Box 1_H1</t>
  </si>
  <si>
    <t>BAS-22456-ED_PL-1</t>
  </si>
  <si>
    <t>REP-10187</t>
  </si>
  <si>
    <t>FFCCS Plasma Aliquot 1 Box 1_E5; FFCCS Plasma Aliquot 2 Box 1_E5</t>
  </si>
  <si>
    <t>REP-10187-ED_PL-1</t>
  </si>
  <si>
    <t>REP-10188</t>
  </si>
  <si>
    <t>FFCCS Plasma Aliquot 1 Box 1_E6; FFCCS Plasma Aliquot 2 Box 1_E6</t>
  </si>
  <si>
    <t>REP-10188-ED_PL-1</t>
  </si>
  <si>
    <t>REP-10452</t>
  </si>
  <si>
    <t>FFCCS Plasma Aliquot 1 Box 1_I2; FFCCS Plasma Aliquot 2 Box 1_E8</t>
  </si>
  <si>
    <t>REP-10452-ED_PL-1</t>
  </si>
  <si>
    <t>post-exposure</t>
  </si>
  <si>
    <t>REP-10453</t>
  </si>
  <si>
    <t>FFCCS Plasma Aliquot 1 Box 1_I3; FFCCS Plasma Aliquot 2 Box 1_E9</t>
  </si>
  <si>
    <t>REP-10453-ED_PL-1</t>
  </si>
  <si>
    <t>REP-10454</t>
  </si>
  <si>
    <t>FFCCS Plasma Aliquot 1 Box 1_I4; FFCCS Plasma Aliquot 2 Box 1_F1</t>
  </si>
  <si>
    <t>REP-10454-ED_PL-1</t>
  </si>
  <si>
    <t>REP-10455</t>
  </si>
  <si>
    <t>FFCCS Plasma Aliquot 1 Box 1_I5; FFCCS Plasma Aliquot 2 Box 1_F2</t>
  </si>
  <si>
    <t>REP-10455-ED_PL-1</t>
  </si>
  <si>
    <t>REP-10456</t>
  </si>
  <si>
    <t>FFCCS Plasma Aliquot 1 Box 1_I6; FFCCS Plasma Aliquot 2 Box 1_F3</t>
  </si>
  <si>
    <t>REP-10456-ED_PL-1</t>
  </si>
  <si>
    <t>REP-10457</t>
  </si>
  <si>
    <t>FFCCS Plasma Aliquot 1 Box 1_I7; FFCCS Plasma Aliquot 2 Box 1_F4</t>
  </si>
  <si>
    <t>REP-10457-ED_PL-1</t>
  </si>
  <si>
    <t>REP-10458</t>
  </si>
  <si>
    <t>FFCCS Plasma Aliquot 1 Box 1_I8; FFCCS Plasma Aliquot 2 Box 1_H2</t>
  </si>
  <si>
    <t>REP-10458-ED_PL-1</t>
  </si>
  <si>
    <t>REP-10459</t>
  </si>
  <si>
    <t>FFCCS Plasma Aliquot 1 Box 1_I9; FFCCS Plasma Aliquot 2 Box 1_H3</t>
  </si>
  <si>
    <t>REP-10459-ED_PL-1</t>
  </si>
  <si>
    <t>REP-10460</t>
  </si>
  <si>
    <t>FFCCS Plasma Aliquot 1 Box 2_A1; FFCCS Plasma Aliquot 2 Box 1_H4</t>
  </si>
  <si>
    <t>REP-10460-ED_PL-1</t>
  </si>
  <si>
    <t>REP-10461</t>
  </si>
  <si>
    <t>FFCCS Plasma Aliquot 2 Box 1_H5</t>
  </si>
  <si>
    <t>REP-10461-ED_PL-2</t>
  </si>
  <si>
    <t>REP-10462</t>
  </si>
  <si>
    <t>FFCCS Plasma Aliquot 1 Box 2_A2; FFCCS Plasma Aliquot 2 Box 1_H6</t>
  </si>
  <si>
    <t>REP-10462-ED_PL-1</t>
  </si>
  <si>
    <t>REP-10464</t>
  </si>
  <si>
    <t>FFCCS Plasma Aliquot 1 Box 2_A3; FFCCS Plasma Aliquot 2 Box 1_H7</t>
  </si>
  <si>
    <t>REP-10464-ED_PL-1</t>
  </si>
  <si>
    <t>REP-10465</t>
  </si>
  <si>
    <t>FFCCS Plasma Aliquot 2 Box 1_H8</t>
  </si>
  <si>
    <t>REP-10465-ED_PL-2</t>
  </si>
  <si>
    <t>REP-10466</t>
  </si>
  <si>
    <t>FFCCS Plasma Aliquot 1 Box 2_A4; FFCCS Plasma Aliquot 2 Box 1_H9</t>
  </si>
  <si>
    <t>REP-10466-ED_PL-1</t>
  </si>
  <si>
    <t>REP-10467</t>
  </si>
  <si>
    <t>FFCCS Plasma Aliquot 1 Box 2_A5; FFCCS Plasma Aliquot 2 Box 1_I1</t>
  </si>
  <si>
    <t>REP-10467-ED_PL-1</t>
  </si>
  <si>
    <t>REP-10468</t>
  </si>
  <si>
    <t>FFCCS Plasma Aliquot 1 Box 2_A6; FFCCS Plasma Aliquot 2 Box 1_I2</t>
  </si>
  <si>
    <t>REP-10468-ED_PL-1</t>
  </si>
  <si>
    <t>REP-10469</t>
  </si>
  <si>
    <t>FFCCS Plasma Aliquot 1 Box 2_A7; FFCCS Plasma Aliquot 2 Box 1_I3</t>
  </si>
  <si>
    <t>REP-10469-ED_PL-1</t>
  </si>
  <si>
    <t>REP-10471</t>
  </si>
  <si>
    <t>FFCCS Plasma Aliquot 1 Box 2_A8; FFCCS Plasma Aliquot 2 Box 1_I4</t>
  </si>
  <si>
    <t>REP-10471-ED_PL-1</t>
  </si>
  <si>
    <t>REP-10473</t>
  </si>
  <si>
    <t>FFCCS Plasma Aliquot 1 Box 2_A9; FFCCS Plasma Aliquot 2 Box 1_I5</t>
  </si>
  <si>
    <t>REP-10473-ED_PL-1</t>
  </si>
  <si>
    <t>REP-10475</t>
  </si>
  <si>
    <t>FFCCS Plasma Aliquot 1 Box 2_B1; FFCCS Plasma Aliquot 2 Box 1_I6</t>
  </si>
  <si>
    <t>REP-10475-ED_PL-1</t>
  </si>
  <si>
    <t>REP-10477</t>
  </si>
  <si>
    <t>FFCCS Plasma Aliquot 1 Box 2_B2; FFCCS Plasma Aliquot 2 Box 1_I7</t>
  </si>
  <si>
    <t>REP-10477-ED_PL-1</t>
  </si>
  <si>
    <t>REP-10479</t>
  </si>
  <si>
    <t>FFCCS Plasma Aliquot 1 Box 2_B3; FFCCS Plasma Aliquot 2 Box 1_I8</t>
  </si>
  <si>
    <t>REP-10479-ED_PL-1</t>
  </si>
  <si>
    <t>REP-10944</t>
  </si>
  <si>
    <t>FFCCS Plasma Aliquot 1 Box 2_B4; FFCCS Plasma Aliquot 2 Box 1_I9</t>
  </si>
  <si>
    <t>REP-10944-ED_PL-1</t>
  </si>
  <si>
    <t>REP-10945</t>
  </si>
  <si>
    <t>FFCCS Plasma Aliquot 1 Box 2_B5; FFCCS Plasma Aliquot 2 Box 2_A1</t>
  </si>
  <si>
    <t>REP-10945-ED_PL-1</t>
  </si>
  <si>
    <t>REP-10947</t>
  </si>
  <si>
    <t>FFCCS Plasma Aliquot 1 Box 2_B6; FFCCS Plasma Aliquot 2 Box 2_A2</t>
  </si>
  <si>
    <t>REP-10947-ED_PL-1</t>
  </si>
  <si>
    <t>REP-10948</t>
  </si>
  <si>
    <t>FFCCS Plasma Aliquot 1 Box 2_B7; FFCCS Plasma Aliquot 2 Box 2_A3</t>
  </si>
  <si>
    <t>REP-10948-ED_PL-1</t>
  </si>
  <si>
    <t>REP-10949</t>
  </si>
  <si>
    <t>FFCCS Plasma Aliquot 1 Box 2_B8; FFCCS Plasma Aliquot 2 Box 2_A4</t>
  </si>
  <si>
    <t>REP-10949-ED_PL-1</t>
  </si>
  <si>
    <t>REP-10951</t>
  </si>
  <si>
    <t>FFCCS Plasma Aliquot 2 Box 2_A5</t>
  </si>
  <si>
    <t>REP-10951-ED_PL-2</t>
  </si>
  <si>
    <t>REP-10952</t>
  </si>
  <si>
    <t>FFCCS Plasma Aliquot 1 Box 2_B9; FFCCS Plasma Aliquot 2 Box 2_A6</t>
  </si>
  <si>
    <t>REP-10952-ED_PL-1</t>
  </si>
  <si>
    <t>REP-10953</t>
  </si>
  <si>
    <t>FFCCS Plasma Aliquot 1 Box 2_C1; FFCCS Plasma Aliquot 2 Box 2_A7</t>
  </si>
  <si>
    <t>REP-10953-ED_PL-1</t>
  </si>
  <si>
    <t>REP-10954</t>
  </si>
  <si>
    <t>FFCCS Plasma Aliquot 2 Box 2_A8</t>
  </si>
  <si>
    <t>REP-10954-ED_PL-2</t>
  </si>
  <si>
    <t>REP-10955</t>
  </si>
  <si>
    <t>FFCCS Plasma Aliquot 1 Box 2_C2; FFCCS Plasma Aliquot 2 Box 2_A9</t>
  </si>
  <si>
    <t>REP-10955-ED_PL-1</t>
  </si>
  <si>
    <t>REP-10956</t>
  </si>
  <si>
    <t>FFCCS Plasma Aliquot 1 Box 2_C3; FFCCS Plasma Aliquot 2 Box 2_B1</t>
  </si>
  <si>
    <t>REP-10956-ED_PL-1</t>
  </si>
  <si>
    <t>REP-10957</t>
  </si>
  <si>
    <t>FFCCS Plasma Aliquot 2 Box 2_B2</t>
  </si>
  <si>
    <t>REP-10957-ED_PL-2</t>
  </si>
  <si>
    <t>REP-10959</t>
  </si>
  <si>
    <t>FFCCS Plasma Aliquot 1 Box 2_C4; FFCCS Plasma Aliquot 2 Box 2_B3</t>
  </si>
  <si>
    <t>REP-10959-ED_PL-1</t>
  </si>
  <si>
    <t>REP-10960</t>
  </si>
  <si>
    <t>FFCCS Plasma Aliquot 1 Box 2_C5; FFCCS Plasma Aliquot 2 Box 2_B4</t>
  </si>
  <si>
    <t>REP-10960-ED_PL-1</t>
  </si>
  <si>
    <t>REP-10961</t>
  </si>
  <si>
    <t>FFCCS Plasma Aliquot 2 Box 2_B5</t>
  </si>
  <si>
    <t>REP-10961-ED_PL-2</t>
  </si>
  <si>
    <t>REP-10962</t>
  </si>
  <si>
    <t>FFCCS Plasma Aliquot 1 Box 2_C6; FFCCS Plasma Aliquot 2 Box 2_B6</t>
  </si>
  <si>
    <t>REP-10962-ED_PL-1</t>
  </si>
  <si>
    <t>REP-10963</t>
  </si>
  <si>
    <t>FFCCS Plasma Aliquot 1 Box 2_C7; FFCCS Plasma Aliquot 2 Box 2_B7</t>
  </si>
  <si>
    <t>REP-10963-ED_PL-1</t>
  </si>
  <si>
    <t>REP-10964</t>
  </si>
  <si>
    <t>FFCCS Plasma Aliquot 1 Box 2_C8; FFCCS Plasma Aliquot 2 Box 2_B8</t>
  </si>
  <si>
    <t>REP-10964-ED_PL-1</t>
  </si>
  <si>
    <t>REP-10965</t>
  </si>
  <si>
    <t>FFCCS Plasma Aliquot 1 Box 2_C9; FFCCS Plasma Aliquot 2 Box 2_B9</t>
  </si>
  <si>
    <t>REP-10965-ED_PL-1</t>
  </si>
  <si>
    <t>REP-10966</t>
  </si>
  <si>
    <t>FFCCS Plasma Aliquot 1 Box 2_D1; FFCCS Plasma Aliquot 2 Box 2_C1</t>
  </si>
  <si>
    <t>REP-10966-ED_PL-1</t>
  </si>
  <si>
    <t>REP-10967</t>
  </si>
  <si>
    <t>FFCCS Plasma Aliquot 2 Box 2_C2</t>
  </si>
  <si>
    <t>REP-10967-ED_PL-2</t>
  </si>
  <si>
    <t>REP-10969</t>
  </si>
  <si>
    <t>FFCCS Plasma Aliquot 1 Box 2_D2; FFCCS Plasma Aliquot 2 Box 2_C3</t>
  </si>
  <si>
    <t>REP-10969-ED_PL-1</t>
  </si>
  <si>
    <t>REP-10970</t>
  </si>
  <si>
    <t>FFCCS Plasma Aliquot 2 Box 2_C4</t>
  </si>
  <si>
    <t>REP-10970-ED_PL-2</t>
  </si>
  <si>
    <t>REP-10971</t>
  </si>
  <si>
    <t>FFCCS Plasma Aliquot 1 Box 2_D3; FFCCS Plasma Aliquot 2 Box 2_C5</t>
  </si>
  <si>
    <t>REP-10971-ED_PL-1</t>
  </si>
  <si>
    <t>REP-9161</t>
  </si>
  <si>
    <t>FFCCS Plasma Aliquot 1 Box 1_D8; FFCCS Plasma Aliquot 2 Box 1_D8</t>
  </si>
  <si>
    <t>REP-9161-EDTA_Pla-1</t>
  </si>
  <si>
    <t>REP-9162</t>
  </si>
  <si>
    <t>FFCCS Plasma Aliquot 1 Box 1_D9; FFCCS Plasma Aliquot 2 Box 1_D9</t>
  </si>
  <si>
    <t>REP-9162-EDTA_Pla-1</t>
  </si>
  <si>
    <t>REP-9164</t>
  </si>
  <si>
    <t>FFCCS Plasma Aliquot 1 Box 1_D1; FFCCS Plasma Aliquot 2 Box 1_D1</t>
  </si>
  <si>
    <t>REP-9164-EDTA_Pla-1</t>
  </si>
  <si>
    <t>REP-9165</t>
  </si>
  <si>
    <t>FFCCS Plasma Aliquot 1 Box 1_D2; FFCCS Plasma Aliquot 2 Box 1_D2</t>
  </si>
  <si>
    <t>REP-9165-EDTA_Pla-1</t>
  </si>
  <si>
    <t>REP-9166</t>
  </si>
  <si>
    <t>FFCCS Plasma Aliquot 1 Box 1_D3; FFCCS Plasma Aliquot 2 Box 1_D3</t>
  </si>
  <si>
    <t>REP-9166-EDTA_Pla-1</t>
  </si>
  <si>
    <t>REP-9167</t>
  </si>
  <si>
    <t>FFCCS Plasma Aliquot 1 Box 1_D4; FFCCS Plasma Aliquot 2 Box 1_D4</t>
  </si>
  <si>
    <t>REP-9167-EDTA_Pla-1</t>
  </si>
  <si>
    <t>REP-9168</t>
  </si>
  <si>
    <t>FFCCS Plasma Aliquot 1 Box 1_D5; FFCCS Plasma Aliquot 2 Box 1_D5</t>
  </si>
  <si>
    <t>REP-9168-EDTA_Pla-1</t>
  </si>
  <si>
    <t>REP-9169</t>
  </si>
  <si>
    <t>FFCCS Plasma Aliquot 1 Box 1_D7; FFCCS Plasma Aliquot 2 Box 1_D7</t>
  </si>
  <si>
    <t>REP-9169-EDTA_Pla-1</t>
  </si>
  <si>
    <t>REP-9172</t>
  </si>
  <si>
    <t>FFCCS Plasma Aliquot 1 Box 1_E1; FFCCS Plasma Aliquot 2 Box 1_E1</t>
  </si>
  <si>
    <t>REP-9172-EDTA_Pla-1</t>
  </si>
  <si>
    <t>REP-9173</t>
  </si>
  <si>
    <t>FFCCS Plasma Aliquot 1 Box 1_E2; FFCCS Plasma Aliquot 2 Box 1_E2</t>
  </si>
  <si>
    <t>REP-9173-EDTA_Pla-1</t>
  </si>
  <si>
    <t>REP-9174</t>
  </si>
  <si>
    <t>FFCCS Plasma Aliquot 1 Box 1_E3; FFCCS Plasma Aliquot 2 Box 1_E3</t>
  </si>
  <si>
    <t>REP-9174-EDTA_Pla-1</t>
  </si>
  <si>
    <t>REP-9175</t>
  </si>
  <si>
    <t>FFCCS Plasma Aliquot 1 Box 1_E4; FFCCS Plasma Aliquot 2 Box 1_E4</t>
  </si>
  <si>
    <t>REP-9175-EDTA_Pla-1</t>
  </si>
  <si>
    <t>Batch</t>
  </si>
  <si>
    <t>Volume of PBS to add to Tube (uL)</t>
  </si>
  <si>
    <t>Final Sample [DNA] Uncorrected (ng/uL)</t>
  </si>
  <si>
    <t>Negative Control</t>
  </si>
  <si>
    <t>N/A</t>
  </si>
  <si>
    <t>Final Sample [DNA] Corrected (ng/uL)</t>
  </si>
  <si>
    <t>Total Quantity of DNA in 40uL Aliquot (ng)</t>
  </si>
  <si>
    <t>Volume to Add to Make a 0.05ng/uL Dilution of 5uL Volume(uL)</t>
  </si>
  <si>
    <t>Volume to Add to Make a 0.05ng/uL Dilution of 10uL Volume (uL)</t>
  </si>
  <si>
    <t>Volume to Add to Make a 0.05ng/uL Dilution of 20uL Volume (uL)</t>
  </si>
  <si>
    <t>Volume to Add to Make a 0.05ng/uL Dilution of 30uL Volume (uL)</t>
  </si>
  <si>
    <t>Concentration of Final Bioanalyzer Specimen (ng/uL)</t>
  </si>
  <si>
    <t>Volume of Sample to Add to EB (uL)</t>
  </si>
  <si>
    <t>Volume of EB to Add (uL)</t>
  </si>
  <si>
    <t>Volume of Final Bioanalzyer Specimen (uL)</t>
  </si>
  <si>
    <t>2 and 12 characters, uppercase, numbers, and underscores only.</t>
  </si>
  <si>
    <t>Common, Scientific name</t>
  </si>
  <si>
    <t>Type of sample for QC</t>
  </si>
  <si>
    <t>Nucleic acid size range in bp</t>
  </si>
  <si>
    <t>QC service(s) requested</t>
  </si>
  <si>
    <t>Buffer (if applicable). EB,TE,H20...</t>
  </si>
  <si>
    <t>Volume (in µl)</t>
  </si>
  <si>
    <t>Concentration (in ng per µl)</t>
  </si>
  <si>
    <t>How did you quantify your sample?</t>
  </si>
  <si>
    <t>Sample level special instructions</t>
  </si>
  <si>
    <t>EB</t>
  </si>
  <si>
    <t>Qubit</t>
  </si>
  <si>
    <t>DNA</t>
  </si>
  <si>
    <t>120 to 220</t>
  </si>
  <si>
    <t>LabChip GX DNA</t>
  </si>
  <si>
    <t>Human, Homo sapiens</t>
  </si>
  <si>
    <t>Tube Name</t>
  </si>
  <si>
    <t>R10464</t>
  </si>
  <si>
    <t>R9169</t>
  </si>
  <si>
    <t>R9164</t>
  </si>
  <si>
    <t>R10469</t>
  </si>
  <si>
    <t>R9162</t>
  </si>
  <si>
    <t>R10471</t>
  </si>
  <si>
    <t>R9168</t>
  </si>
  <si>
    <t>R10948</t>
  </si>
  <si>
    <t>R10966</t>
  </si>
  <si>
    <t>R10961</t>
  </si>
  <si>
    <t>R10971</t>
  </si>
  <si>
    <t>B17200</t>
  </si>
  <si>
    <t>B18790</t>
  </si>
  <si>
    <t>B18840</t>
  </si>
  <si>
    <t>B18830</t>
  </si>
  <si>
    <t>B18841</t>
  </si>
  <si>
    <t>B17183</t>
  </si>
  <si>
    <t>B22456</t>
  </si>
  <si>
    <t>B21935</t>
  </si>
  <si>
    <t>B17209</t>
  </si>
  <si>
    <t>B17199</t>
  </si>
  <si>
    <t>B22006</t>
  </si>
  <si>
    <t>B17205</t>
  </si>
  <si>
    <t>NC1</t>
  </si>
  <si>
    <t>10/10/25 LabChip Resubmit to Confirm Smears</t>
  </si>
  <si>
    <t>Negative Control (Batch #2)</t>
  </si>
  <si>
    <t>Negative control Batch #3</t>
  </si>
  <si>
    <t>Negative Control Batch #4</t>
  </si>
  <si>
    <t>Negative control (Batch #6)</t>
  </si>
  <si>
    <t>Negative control Batch5</t>
  </si>
  <si>
    <t>Batch #1 Bioanalyzer Resubmission</t>
  </si>
  <si>
    <t>Sample #</t>
  </si>
  <si>
    <t>Bioanalzyer DNA HS</t>
  </si>
  <si>
    <t>R10464Re</t>
  </si>
  <si>
    <t>R9169Re</t>
  </si>
  <si>
    <t>R9164Re</t>
  </si>
  <si>
    <t>B17200Re</t>
  </si>
  <si>
    <t>B18790Re</t>
  </si>
  <si>
    <t>R10961Re</t>
  </si>
  <si>
    <t>B21935Re</t>
  </si>
  <si>
    <t>B17209Re</t>
  </si>
  <si>
    <t>B17199Re</t>
  </si>
  <si>
    <t>NC1Re</t>
  </si>
  <si>
    <t>This sample was submitted with QC2323. The DNA Tech Core is already in possession of it. Ask Yaqin for more details.</t>
  </si>
  <si>
    <t>Remake Dilution Calculator</t>
  </si>
  <si>
    <t>Batch #1 Bioanalzyer Full-Strength Submission</t>
  </si>
  <si>
    <t>F10464</t>
  </si>
  <si>
    <t>F9169</t>
  </si>
  <si>
    <t>F9164</t>
  </si>
  <si>
    <t>F10469</t>
  </si>
  <si>
    <t>F9162</t>
  </si>
  <si>
    <t>F10471</t>
  </si>
  <si>
    <t>F9168</t>
  </si>
  <si>
    <t>F10948</t>
  </si>
  <si>
    <t>F10966</t>
  </si>
  <si>
    <t>F10961</t>
  </si>
  <si>
    <t>F10971</t>
  </si>
  <si>
    <t>F17200</t>
  </si>
  <si>
    <t>F18790</t>
  </si>
  <si>
    <t>F18840</t>
  </si>
  <si>
    <t>F18830</t>
  </si>
  <si>
    <t>F18841</t>
  </si>
  <si>
    <t>F17183</t>
  </si>
  <si>
    <t>F22456</t>
  </si>
  <si>
    <t>F21935</t>
  </si>
  <si>
    <t>F17209</t>
  </si>
  <si>
    <t>F17199</t>
  </si>
  <si>
    <t>F22006</t>
  </si>
  <si>
    <t>F17205</t>
  </si>
  <si>
    <t>Sample Identity</t>
  </si>
  <si>
    <t>FNC1</t>
  </si>
  <si>
    <t>Post Size- Selection Quantification</t>
  </si>
  <si>
    <t>Final Sample [DNA] (ng/uL)</t>
  </si>
  <si>
    <t>Total Quantity of DNA in 20uL Aliquot (ng)</t>
  </si>
  <si>
    <t>Size-Selected Tub ID</t>
  </si>
  <si>
    <t>L1</t>
  </si>
  <si>
    <t>L2</t>
  </si>
  <si>
    <t>H1</t>
  </si>
  <si>
    <t>H2</t>
  </si>
  <si>
    <t>Negative Control []DNa 10/21/25</t>
  </si>
  <si>
    <t>Possible Corrected Final Sample [DNA] (ng/uL)</t>
  </si>
  <si>
    <t>Total Quantity of DNA in 10uL Aliquot (ng)</t>
  </si>
  <si>
    <t>Volume of PBS to Add to Tube (uL)</t>
  </si>
  <si>
    <t>Volume of PBS to Add to Reach 2mL (uL)</t>
  </si>
  <si>
    <t>Volume of PBS to add to Reach 2mL (uL)</t>
  </si>
  <si>
    <t>Final Sample [DNA] - Uncorrected (ng/uL)</t>
  </si>
  <si>
    <t>Final Sample [DNA] - Corrected (ng/uL)</t>
  </si>
  <si>
    <t>EMPTY</t>
  </si>
  <si>
    <t>Total Quantity of DNA in 40uL Aliquot - CORRECTED(ng)</t>
  </si>
  <si>
    <t xml:space="preserve"># of Samples with &gt;1ng Yield: </t>
  </si>
  <si>
    <t>Average Sample Yield (ng)</t>
  </si>
  <si>
    <t>Sample StDev</t>
  </si>
  <si>
    <t>Average Sample Concentration (ng/uL)</t>
  </si>
  <si>
    <t>Sample Concentration StDev</t>
  </si>
  <si>
    <t>Total Quantity of DNA in Aliquot (ng)</t>
  </si>
  <si>
    <t xml:space="preserve"># of Samples with &gt;0ng Yield:  </t>
  </si>
  <si>
    <t>StDev Sample Yield (ng)</t>
  </si>
  <si>
    <t>Batches 2-6 Bioanalyzer Submission</t>
  </si>
  <si>
    <t xml:space="preserve">120 to 220 </t>
  </si>
  <si>
    <t xml:space="preserve">121 to 220 </t>
  </si>
  <si>
    <t xml:space="preserve">122 to 220 </t>
  </si>
  <si>
    <t xml:space="preserve">123 to 220 </t>
  </si>
  <si>
    <t xml:space="preserve">124 to 220 </t>
  </si>
  <si>
    <t xml:space="preserve">125 to 220 </t>
  </si>
  <si>
    <t>Bioanalyzer DNA HS</t>
  </si>
  <si>
    <t xml:space="preserve">Batch </t>
  </si>
  <si>
    <t>B17254</t>
  </si>
  <si>
    <t>B21940</t>
  </si>
  <si>
    <t>B18835</t>
  </si>
  <si>
    <t>B17213</t>
  </si>
  <si>
    <t>B17203</t>
  </si>
  <si>
    <t>B17210</t>
  </si>
  <si>
    <t>B18797</t>
  </si>
  <si>
    <t>B18839</t>
  </si>
  <si>
    <t>B18826</t>
  </si>
  <si>
    <t>B17253</t>
  </si>
  <si>
    <t>B21939</t>
  </si>
  <si>
    <t>B17242</t>
  </si>
  <si>
    <t>B18649</t>
  </si>
  <si>
    <t>B22452</t>
  </si>
  <si>
    <t>B18828</t>
  </si>
  <si>
    <t>B21938</t>
  </si>
  <si>
    <t>B18836</t>
  </si>
  <si>
    <t>B17255</t>
  </si>
  <si>
    <t>B17207</t>
  </si>
  <si>
    <t>B18833</t>
  </si>
  <si>
    <t>B18793</t>
  </si>
  <si>
    <t>B18837</t>
  </si>
  <si>
    <t>B17180</t>
  </si>
  <si>
    <t>B17197</t>
  </si>
  <si>
    <t>B17262</t>
  </si>
  <si>
    <t>B21942</t>
  </si>
  <si>
    <t>B17211</t>
  </si>
  <si>
    <t>B17227</t>
  </si>
  <si>
    <t>B17191</t>
  </si>
  <si>
    <t>B18795</t>
  </si>
  <si>
    <t>B18798</t>
  </si>
  <si>
    <t>B17261</t>
  </si>
  <si>
    <t>B17190</t>
  </si>
  <si>
    <t>B18838</t>
  </si>
  <si>
    <t>B18800</t>
  </si>
  <si>
    <t>B18831</t>
  </si>
  <si>
    <t>B21943</t>
  </si>
  <si>
    <t>B17206</t>
  </si>
  <si>
    <t>B17208</t>
  </si>
  <si>
    <t>B22455</t>
  </si>
  <si>
    <t>B21944</t>
  </si>
  <si>
    <t>B18792</t>
  </si>
  <si>
    <t>B18827</t>
  </si>
  <si>
    <t>B21945</t>
  </si>
  <si>
    <t>B17192</t>
  </si>
  <si>
    <t>B21936</t>
  </si>
  <si>
    <t>B18845</t>
  </si>
  <si>
    <t>B17181</t>
  </si>
  <si>
    <t>B21941</t>
  </si>
  <si>
    <t>B18052</t>
  </si>
  <si>
    <t>B18791</t>
  </si>
  <si>
    <t>B18799</t>
  </si>
  <si>
    <t>B18796</t>
  </si>
  <si>
    <t>B17252</t>
  </si>
  <si>
    <t>B18844</t>
  </si>
  <si>
    <t>B17193</t>
  </si>
  <si>
    <t>B18834</t>
  </si>
  <si>
    <t>B21937</t>
  </si>
  <si>
    <t>B17212</t>
  </si>
  <si>
    <t>B18832</t>
  </si>
  <si>
    <t>B17189</t>
  </si>
  <si>
    <t>B17194</t>
  </si>
  <si>
    <t>B17912</t>
  </si>
  <si>
    <t>B18842</t>
  </si>
  <si>
    <t>R10457</t>
  </si>
  <si>
    <t>R10951</t>
  </si>
  <si>
    <t>R10454</t>
  </si>
  <si>
    <t>R9173</t>
  </si>
  <si>
    <t>R9167</t>
  </si>
  <si>
    <t>R10458</t>
  </si>
  <si>
    <t>R10477</t>
  </si>
  <si>
    <t>R10965</t>
  </si>
  <si>
    <t>R10455</t>
  </si>
  <si>
    <t>R10467</t>
  </si>
  <si>
    <t>R10465</t>
  </si>
  <si>
    <t>R9166</t>
  </si>
  <si>
    <t>R10461</t>
  </si>
  <si>
    <t>R9172</t>
  </si>
  <si>
    <t>R10957</t>
  </si>
  <si>
    <t>R10466</t>
  </si>
  <si>
    <t>R10956</t>
  </si>
  <si>
    <t>R10959</t>
  </si>
  <si>
    <t>R10947</t>
  </si>
  <si>
    <t>R10960</t>
  </si>
  <si>
    <t>R10945</t>
  </si>
  <si>
    <t>R10969</t>
  </si>
  <si>
    <t>R10462</t>
  </si>
  <si>
    <t>R10479</t>
  </si>
  <si>
    <t>R9174</t>
  </si>
  <si>
    <t>R10187</t>
  </si>
  <si>
    <t>R10460</t>
  </si>
  <si>
    <t>R10954</t>
  </si>
  <si>
    <t>R10952</t>
  </si>
  <si>
    <t>R10468</t>
  </si>
  <si>
    <t>R10453</t>
  </si>
  <si>
    <t>R10953</t>
  </si>
  <si>
    <t>R10955</t>
  </si>
  <si>
    <t>R9165</t>
  </si>
  <si>
    <t>R10459</t>
  </si>
  <si>
    <t>R10949</t>
  </si>
  <si>
    <t>R10475</t>
  </si>
  <si>
    <t>R10962</t>
  </si>
  <si>
    <t>R10964</t>
  </si>
  <si>
    <t>R10970</t>
  </si>
  <si>
    <t>R10452</t>
  </si>
  <si>
    <t>R9175</t>
  </si>
  <si>
    <t>R10963</t>
  </si>
  <si>
    <t>R9161</t>
  </si>
  <si>
    <t>R10967</t>
  </si>
  <si>
    <t>R10473</t>
  </si>
  <si>
    <t>R10188</t>
  </si>
  <si>
    <t>R10456</t>
  </si>
  <si>
    <t>NC Batch #3</t>
  </si>
  <si>
    <t>NC Batch #2</t>
  </si>
  <si>
    <t>NC Batch #4</t>
  </si>
  <si>
    <t>NC Batch #5</t>
  </si>
  <si>
    <t>NC Batch #6</t>
  </si>
  <si>
    <t>NC2</t>
  </si>
  <si>
    <t>NC3</t>
  </si>
  <si>
    <t>NC4</t>
  </si>
  <si>
    <t>NC5</t>
  </si>
  <si>
    <t>NC6</t>
  </si>
  <si>
    <t>Batches 2-6 Bioanalyzer Submission Results</t>
  </si>
  <si>
    <t>Visible  ~140bp-180bp cfDNA Peak? (Y/N)</t>
  </si>
  <si>
    <t>Visible Large MW (&gt;1000bp) Contaminant?</t>
  </si>
  <si>
    <t>Size-Selection Required? (Y/N)</t>
  </si>
  <si>
    <t>Y</t>
  </si>
  <si>
    <t>N</t>
  </si>
  <si>
    <t>y</t>
  </si>
  <si>
    <t>Already Size-Selected? (Y/N)</t>
  </si>
  <si>
    <t>Batch #1 Bioanalyzer Submission Results</t>
  </si>
  <si>
    <t>SPRITubeName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</si>
  <si>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</si>
  <si>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</si>
  <si>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</si>
  <si>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</si>
  <si>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</si>
  <si>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</si>
  <si>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</si>
  <si>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</si>
  <si>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</si>
  <si>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</si>
  <si>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</si>
  <si>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</si>
  <si>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</si>
  <si>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</si>
  <si>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</si>
  <si>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</si>
  <si>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</si>
  <si>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</si>
  <si>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</si>
  <si>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</si>
  <si>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</si>
  <si>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</si>
  <si>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</si>
  <si>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</si>
  <si>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</si>
  <si>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</si>
  <si>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</si>
  <si>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</si>
  <si>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</si>
  <si>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</si>
  <si>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</si>
  <si>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</si>
  <si>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</si>
  <si>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</si>
  <si>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</si>
  <si>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</si>
  <si>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</si>
  <si>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</si>
  <si>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</si>
  <si>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</si>
  <si>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</si>
  <si>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</si>
  <si>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</si>
  <si>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</si>
  <si>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</si>
  <si>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</si>
  <si>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</si>
  <si>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</si>
  <si>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</si>
  <si>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</si>
  <si>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</si>
  <si>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</si>
  <si>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</si>
  <si>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</si>
  <si>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</si>
  <si>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</si>
  <si>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</si>
  <si>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</si>
  <si>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</si>
  <si>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</si>
  <si>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</si>
  <si>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</si>
  <si>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</si>
  <si>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H3</t>
  </si>
  <si>
    <t>H4</t>
  </si>
  <si>
    <t>H5</t>
  </si>
  <si>
    <t>H6</t>
  </si>
  <si>
    <t>H7</t>
  </si>
  <si>
    <t>H8</t>
  </si>
  <si>
    <t>H9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</si>
  <si>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</si>
  <si>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</si>
  <si>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</si>
  <si>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</si>
  <si>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</si>
  <si>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</si>
  <si>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</si>
  <si>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</si>
  <si>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</si>
  <si>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</si>
  <si>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</si>
  <si>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</si>
  <si>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</si>
  <si>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</si>
  <si>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</si>
  <si>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</si>
  <si>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</si>
  <si>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</si>
  <si>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</si>
  <si>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</si>
  <si>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</si>
  <si>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</si>
  <si>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</si>
  <si>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</si>
  <si>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</si>
  <si>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</si>
  <si>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</si>
  <si>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L3</t>
  </si>
  <si>
    <t>L4</t>
  </si>
  <si>
    <t>L5</t>
  </si>
  <si>
    <t>L6</t>
  </si>
  <si>
    <t>L7</t>
  </si>
  <si>
    <t>L8</t>
  </si>
  <si>
    <t>L9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</si>
  <si>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</si>
  <si>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</si>
  <si>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</si>
  <si>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</si>
  <si>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</si>
  <si>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</si>
  <si>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</si>
  <si>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</si>
  <si>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</si>
  <si>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</si>
  <si>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</si>
  <si>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</si>
  <si>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</si>
  <si>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</si>
  <si>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</si>
  <si>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</si>
  <si>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</si>
  <si>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</si>
  <si>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O1</t>
  </si>
  <si>
    <t>O2</t>
  </si>
  <si>
    <t>Eluate Volume (uL)</t>
  </si>
  <si>
    <t>Batch of Size Selection</t>
  </si>
  <si>
    <t xml:space="preserve">Volume to AVE to Add to Reach 50uL Final Volume </t>
  </si>
  <si>
    <t>Qubit [DNA] (ng/uL)</t>
  </si>
  <si>
    <t>Calculated Quantity of DNA in 20uL of Sample (ng)</t>
  </si>
  <si>
    <t>Calculated Quantity of DNA in 15uL of Sample (ng)</t>
  </si>
  <si>
    <t xml:space="preserve">Bioanalzyer Submission Sample Name </t>
  </si>
  <si>
    <t>Bioanalzyer Submission</t>
  </si>
  <si>
    <t>Human, Homo sapien</t>
  </si>
  <si>
    <t>Size-Selected (Y/N)</t>
  </si>
  <si>
    <t>Calculated Quantity of DNA in  Estimated Sample Volume (ng)</t>
  </si>
  <si>
    <t>Pooling instructions (none, all in 1 pool,etc.)</t>
  </si>
  <si>
    <t>Number of reads desired. 20 Gb = 66M PE150 reads.</t>
  </si>
  <si>
    <t>Sample level special instructions.</t>
  </si>
  <si>
    <t>All in 1 pool</t>
  </si>
  <si>
    <t>Concentration (ng/uL)</t>
  </si>
  <si>
    <t>Nanodrop 260/280 ratio</t>
  </si>
  <si>
    <t>Nanodrop 260/230 ratio</t>
  </si>
  <si>
    <t>Comments</t>
  </si>
  <si>
    <t xml:space="preserve">Plate Name (for samples submitted in a 96 well plate only) </t>
  </si>
  <si>
    <t>Well ID (plates only)</t>
  </si>
  <si>
    <t>Sample Name (2-12 characters, uppercase letters numbers and underscores only)</t>
  </si>
  <si>
    <t>P1</t>
  </si>
  <si>
    <t>P2</t>
  </si>
  <si>
    <t>P3</t>
  </si>
  <si>
    <t>P4</t>
  </si>
  <si>
    <t>X1</t>
  </si>
  <si>
    <t>X2</t>
  </si>
  <si>
    <t>X3</t>
  </si>
  <si>
    <t>X4</t>
  </si>
  <si>
    <t>Volume (uL)</t>
  </si>
  <si>
    <t>Calculated Quantity of DNA in  Estimated Sample Volume with actual volume corrected (ng)</t>
  </si>
  <si>
    <t xml:space="preserve">Sequencing Submission Name </t>
  </si>
  <si>
    <t>LA001</t>
  </si>
  <si>
    <t>LA002</t>
  </si>
  <si>
    <t>LA003</t>
  </si>
  <si>
    <t>LA004</t>
  </si>
  <si>
    <t>LA005</t>
  </si>
  <si>
    <t>LA006</t>
  </si>
  <si>
    <t>LA007</t>
  </si>
  <si>
    <t>LA008</t>
  </si>
  <si>
    <t>LA009</t>
  </si>
  <si>
    <t>LA010</t>
  </si>
  <si>
    <t>LA011</t>
  </si>
  <si>
    <t>LA012</t>
  </si>
  <si>
    <t>LA013</t>
  </si>
  <si>
    <t>LA014</t>
  </si>
  <si>
    <t>LA015</t>
  </si>
  <si>
    <t>LA016</t>
  </si>
  <si>
    <t>LA017</t>
  </si>
  <si>
    <t>LA018</t>
  </si>
  <si>
    <t>LA019</t>
  </si>
  <si>
    <t>LA020</t>
  </si>
  <si>
    <t>LA021</t>
  </si>
  <si>
    <t>LA022</t>
  </si>
  <si>
    <t>LA023</t>
  </si>
  <si>
    <t>LA024</t>
  </si>
  <si>
    <t>LA025</t>
  </si>
  <si>
    <t>LA026</t>
  </si>
  <si>
    <t>LA027</t>
  </si>
  <si>
    <t>LA028</t>
  </si>
  <si>
    <t>LA029</t>
  </si>
  <si>
    <t>LA030</t>
  </si>
  <si>
    <t>LA031</t>
  </si>
  <si>
    <t>LA032</t>
  </si>
  <si>
    <t>LA033</t>
  </si>
  <si>
    <t>LA034</t>
  </si>
  <si>
    <t>LA035</t>
  </si>
  <si>
    <t>LA036</t>
  </si>
  <si>
    <t>LA037</t>
  </si>
  <si>
    <t>LA038</t>
  </si>
  <si>
    <t>LA039</t>
  </si>
  <si>
    <t>LA040</t>
  </si>
  <si>
    <t>LA041</t>
  </si>
  <si>
    <t>LA042</t>
  </si>
  <si>
    <t>LA043</t>
  </si>
  <si>
    <t>LA044</t>
  </si>
  <si>
    <t>LA045</t>
  </si>
  <si>
    <t>LA046</t>
  </si>
  <si>
    <t>LA047</t>
  </si>
  <si>
    <t>LA048</t>
  </si>
  <si>
    <t>LA049</t>
  </si>
  <si>
    <t>LA050</t>
  </si>
  <si>
    <t>LA051</t>
  </si>
  <si>
    <t>LA052</t>
  </si>
  <si>
    <t>LA053</t>
  </si>
  <si>
    <t>LA054</t>
  </si>
  <si>
    <t>LA055</t>
  </si>
  <si>
    <t>LA056</t>
  </si>
  <si>
    <t>LA057</t>
  </si>
  <si>
    <t>LA058</t>
  </si>
  <si>
    <t>LA059</t>
  </si>
  <si>
    <t>LA060</t>
  </si>
  <si>
    <t>LA061</t>
  </si>
  <si>
    <t>LA062</t>
  </si>
  <si>
    <t>LA063</t>
  </si>
  <si>
    <t>LA064</t>
  </si>
  <si>
    <t>LA065</t>
  </si>
  <si>
    <t>LA066</t>
  </si>
  <si>
    <t>LA067</t>
  </si>
  <si>
    <t>LA068</t>
  </si>
  <si>
    <t>LA069</t>
  </si>
  <si>
    <t>LA070</t>
  </si>
  <si>
    <t>LA071</t>
  </si>
  <si>
    <t>LA072</t>
  </si>
  <si>
    <t>LA073</t>
  </si>
  <si>
    <t>LA074</t>
  </si>
  <si>
    <t>LA075</t>
  </si>
  <si>
    <t>LA076</t>
  </si>
  <si>
    <t>LA077</t>
  </si>
  <si>
    <t>LA078</t>
  </si>
  <si>
    <t>LA079</t>
  </si>
  <si>
    <t>LA080</t>
  </si>
  <si>
    <t>LA081</t>
  </si>
  <si>
    <t>LA082</t>
  </si>
  <si>
    <t>LA083</t>
  </si>
  <si>
    <t>LA084</t>
  </si>
  <si>
    <t>LA085</t>
  </si>
  <si>
    <t>LA086</t>
  </si>
  <si>
    <t>LA087</t>
  </si>
  <si>
    <t>LA088</t>
  </si>
  <si>
    <t>LA089</t>
  </si>
  <si>
    <t>LA090</t>
  </si>
  <si>
    <t>LA091</t>
  </si>
  <si>
    <t>LA092</t>
  </si>
  <si>
    <t>LA093</t>
  </si>
  <si>
    <t>LA094</t>
  </si>
  <si>
    <t>LA095</t>
  </si>
  <si>
    <t>LA096</t>
  </si>
  <si>
    <t>LA097</t>
  </si>
  <si>
    <t>LA098</t>
  </si>
  <si>
    <t>LA099</t>
  </si>
  <si>
    <t>LA100</t>
  </si>
  <si>
    <t>LA101</t>
  </si>
  <si>
    <t>LA102</t>
  </si>
  <si>
    <t>LA103</t>
  </si>
  <si>
    <t>LA104</t>
  </si>
  <si>
    <t>LA105</t>
  </si>
  <si>
    <t>LA106</t>
  </si>
  <si>
    <t>LA107</t>
  </si>
  <si>
    <t>LA108</t>
  </si>
  <si>
    <t>LA109</t>
  </si>
  <si>
    <t>LA110</t>
  </si>
  <si>
    <t>LA111</t>
  </si>
  <si>
    <t>LA112</t>
  </si>
  <si>
    <t>LA113</t>
  </si>
  <si>
    <t>LA114</t>
  </si>
  <si>
    <t>LA115</t>
  </si>
  <si>
    <t>LA116</t>
  </si>
  <si>
    <t>LA117</t>
  </si>
  <si>
    <t>LA118</t>
  </si>
  <si>
    <t>LA119</t>
  </si>
  <si>
    <t>LA120</t>
  </si>
  <si>
    <t>LA121</t>
  </si>
  <si>
    <t>LA122</t>
  </si>
  <si>
    <t>LA123</t>
  </si>
  <si>
    <t>LA124</t>
  </si>
  <si>
    <t>LA125</t>
  </si>
  <si>
    <t>LA126</t>
  </si>
  <si>
    <t>LA127</t>
  </si>
  <si>
    <t>LA128</t>
  </si>
  <si>
    <t>LA129</t>
  </si>
  <si>
    <t>LA130</t>
  </si>
  <si>
    <t>LA131</t>
  </si>
  <si>
    <t>LA132</t>
  </si>
  <si>
    <t>LA133</t>
  </si>
  <si>
    <t>LA134</t>
  </si>
  <si>
    <t>Other (please specify in SPECIAL INSTRUCTIONS column)</t>
  </si>
  <si>
    <t>Sample is cfDNA of ~160bp size. Does not require fragmentation prior to bisulfite conversion. 6 lanes of NovaSeq X 25B PE 150 are requested. Pool all sample libraries into a single pool, then sequence that pool across all six lanes.</t>
  </si>
  <si>
    <t xml:space="preserve">Trace File </t>
  </si>
  <si>
    <t xml:space="preserve">Trace ID </t>
  </si>
  <si>
    <t xml:space="preserve">Submitted Sample ID </t>
  </si>
  <si>
    <t>QC2338</t>
  </si>
  <si>
    <t>QC2394</t>
  </si>
  <si>
    <t>SSR10464</t>
  </si>
  <si>
    <t>SSR9162</t>
  </si>
  <si>
    <t>SSR10471</t>
  </si>
  <si>
    <t>SSR9169</t>
  </si>
  <si>
    <t>Career Status</t>
  </si>
  <si>
    <t>Pair #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</si>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</sst>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0" fillId="0" borderId="6" xfId="0" applyBorder="1"/>
    <xf numFmtId="0" fontId="0" fillId="0" borderId="5" xfId="0" applyBorder="1"/>
    <xf numFmtId="0" fontId="0" fillId="2" borderId="0" xfId="0" applyFill="1"/>
    <xf numFmtId="0" fontId="3" fillId="0" borderId="0" xfId="0" applyFont="1"/>
    <xf numFmtId="0" fontId="3" fillId="0" borderId="1" xfId="0" applyFont="1" applyBorder="1"/>
    <xf numFmtId="0" fontId="0" fillId="0" borderId="7" xfId="0" applyBorder="1"/>
    <xf numFmtId="0" fontId="0" fillId="0" borderId="3" xfId="0" applyBorder="1"/>
    <xf numFmtId="0" fontId="0" fillId="0" borderId="1" xfId="0" applyFill="1" applyBorder="1"/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7"/>
  <sheetViews>
    <sheetView zoomScale="106" zoomScaleNormal="100" workbookViewId="0">
      <selection activeCell="L23" sqref="L23"/>
    </sheetView>
  </sheetViews>
  <sheetFormatPr baseColWidth="10" defaultRowHeight="15" x14ac:dyDescent="0.2"/>
  <cols>
    <col min="2" max="2" width="27.5" bestFit="1" customWidth="1"/>
    <col min="3" max="3" width="55.33203125" bestFit="1" customWidth="1"/>
    <col min="4" max="4" width="18.6640625" bestFit="1" customWidth="1"/>
    <col min="5" max="5" width="11.5" bestFit="1" customWidth="1"/>
    <col min="6" max="6" width="11.33203125" bestFit="1" customWidth="1"/>
    <col min="9" max="9" width="17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254</v>
      </c>
      <c r="B2">
        <v>1.25</v>
      </c>
      <c r="C2" t="s">
        <v>255</v>
      </c>
      <c r="D2" t="s">
        <v>256</v>
      </c>
      <c r="E2" t="s">
        <v>12</v>
      </c>
      <c r="F2" t="s">
        <v>13</v>
      </c>
      <c r="G2">
        <v>1</v>
      </c>
      <c r="H2">
        <v>1</v>
      </c>
      <c r="I2" t="s">
        <v>223</v>
      </c>
    </row>
    <row r="3" spans="1:10" x14ac:dyDescent="0.2">
      <c r="A3" t="s">
        <v>380</v>
      </c>
      <c r="B3">
        <v>1.4</v>
      </c>
      <c r="C3" t="s">
        <v>381</v>
      </c>
      <c r="D3" t="s">
        <v>382</v>
      </c>
      <c r="E3" t="s">
        <v>12</v>
      </c>
      <c r="F3" t="s">
        <v>13</v>
      </c>
      <c r="G3">
        <v>1</v>
      </c>
      <c r="H3">
        <v>1</v>
      </c>
      <c r="I3" t="s">
        <v>83</v>
      </c>
    </row>
    <row r="4" spans="1:10" x14ac:dyDescent="0.2">
      <c r="A4" t="s">
        <v>233</v>
      </c>
      <c r="B4">
        <v>1.1000000000000001</v>
      </c>
      <c r="C4" t="s">
        <v>234</v>
      </c>
      <c r="D4" t="s">
        <v>235</v>
      </c>
      <c r="E4" t="s">
        <v>12</v>
      </c>
      <c r="F4" t="s">
        <v>13</v>
      </c>
      <c r="G4">
        <v>1</v>
      </c>
      <c r="H4">
        <v>2</v>
      </c>
      <c r="I4" t="s">
        <v>223</v>
      </c>
    </row>
    <row r="5" spans="1:10" x14ac:dyDescent="0.2">
      <c r="A5" t="s">
        <v>359</v>
      </c>
      <c r="B5">
        <v>1.1499999999999999</v>
      </c>
      <c r="C5" t="s">
        <v>360</v>
      </c>
      <c r="D5" t="s">
        <v>361</v>
      </c>
      <c r="E5" t="s">
        <v>12</v>
      </c>
      <c r="F5" t="s">
        <v>13</v>
      </c>
      <c r="G5">
        <v>1</v>
      </c>
      <c r="H5">
        <v>2</v>
      </c>
      <c r="I5" t="s">
        <v>83</v>
      </c>
    </row>
    <row r="6" spans="1:10" x14ac:dyDescent="0.2">
      <c r="A6" t="s">
        <v>220</v>
      </c>
      <c r="B6">
        <v>1.25</v>
      </c>
      <c r="C6" t="s">
        <v>221</v>
      </c>
      <c r="D6" t="s">
        <v>222</v>
      </c>
      <c r="E6" t="s">
        <v>12</v>
      </c>
      <c r="F6" t="s">
        <v>13</v>
      </c>
      <c r="G6">
        <v>1</v>
      </c>
      <c r="H6">
        <v>3</v>
      </c>
      <c r="I6" t="s">
        <v>223</v>
      </c>
    </row>
    <row r="7" spans="1:10" x14ac:dyDescent="0.2">
      <c r="A7" t="s">
        <v>217</v>
      </c>
      <c r="B7">
        <v>1.35</v>
      </c>
      <c r="C7" t="s">
        <v>218</v>
      </c>
      <c r="D7" t="s">
        <v>219</v>
      </c>
      <c r="E7" t="s">
        <v>12</v>
      </c>
      <c r="F7" t="s">
        <v>13</v>
      </c>
      <c r="G7">
        <v>1</v>
      </c>
      <c r="H7">
        <v>3</v>
      </c>
      <c r="I7" t="s">
        <v>83</v>
      </c>
    </row>
    <row r="8" spans="1:10" x14ac:dyDescent="0.2">
      <c r="A8" t="s">
        <v>251</v>
      </c>
      <c r="B8">
        <v>1.1000000000000001</v>
      </c>
      <c r="C8" t="s">
        <v>252</v>
      </c>
      <c r="D8" t="s">
        <v>253</v>
      </c>
      <c r="E8" t="s">
        <v>12</v>
      </c>
      <c r="F8" t="s">
        <v>13</v>
      </c>
      <c r="G8">
        <v>1</v>
      </c>
      <c r="H8">
        <v>4</v>
      </c>
      <c r="I8" t="s">
        <v>223</v>
      </c>
    </row>
    <row r="9" spans="1:10" x14ac:dyDescent="0.2">
      <c r="A9" t="s">
        <v>214</v>
      </c>
      <c r="B9">
        <v>1.25</v>
      </c>
      <c r="C9" t="s">
        <v>215</v>
      </c>
      <c r="D9" t="s">
        <v>216</v>
      </c>
      <c r="E9" t="s">
        <v>12</v>
      </c>
      <c r="F9" t="s">
        <v>13</v>
      </c>
      <c r="G9">
        <v>1</v>
      </c>
      <c r="H9">
        <v>4</v>
      </c>
      <c r="I9" t="s">
        <v>83</v>
      </c>
    </row>
    <row r="10" spans="1:10" x14ac:dyDescent="0.2">
      <c r="A10" t="s">
        <v>269</v>
      </c>
      <c r="B10">
        <v>1.4</v>
      </c>
      <c r="C10" t="s">
        <v>270</v>
      </c>
      <c r="D10" t="s">
        <v>271</v>
      </c>
      <c r="E10" t="s">
        <v>12</v>
      </c>
      <c r="F10" t="s">
        <v>13</v>
      </c>
      <c r="G10">
        <v>1</v>
      </c>
      <c r="H10">
        <v>5</v>
      </c>
      <c r="I10" t="s">
        <v>223</v>
      </c>
    </row>
    <row r="11" spans="1:10" x14ac:dyDescent="0.2">
      <c r="A11" t="s">
        <v>365</v>
      </c>
      <c r="B11">
        <v>1.3</v>
      </c>
      <c r="C11" t="s">
        <v>366</v>
      </c>
      <c r="D11" t="s">
        <v>367</v>
      </c>
      <c r="E11" t="s">
        <v>12</v>
      </c>
      <c r="F11" t="s">
        <v>13</v>
      </c>
      <c r="G11">
        <v>1</v>
      </c>
      <c r="H11">
        <v>5</v>
      </c>
      <c r="I11" t="s">
        <v>83</v>
      </c>
    </row>
    <row r="12" spans="1:10" x14ac:dyDescent="0.2">
      <c r="A12" t="s">
        <v>20</v>
      </c>
      <c r="B12">
        <v>1.25</v>
      </c>
      <c r="C12" t="s">
        <v>21</v>
      </c>
      <c r="E12" t="s">
        <v>12</v>
      </c>
      <c r="F12" t="s">
        <v>13</v>
      </c>
      <c r="G12">
        <v>1</v>
      </c>
      <c r="H12">
        <v>6</v>
      </c>
      <c r="I12" t="s">
        <v>22</v>
      </c>
      <c r="J12" t="s">
        <v>15</v>
      </c>
    </row>
    <row r="13" spans="1:10" x14ac:dyDescent="0.2">
      <c r="A13" t="s">
        <v>392</v>
      </c>
      <c r="B13">
        <v>1.1499999999999999</v>
      </c>
      <c r="C13" t="s">
        <v>393</v>
      </c>
      <c r="D13" t="s">
        <v>394</v>
      </c>
      <c r="E13" t="s">
        <v>12</v>
      </c>
      <c r="F13" t="s">
        <v>13</v>
      </c>
      <c r="G13">
        <v>1</v>
      </c>
      <c r="H13">
        <v>6</v>
      </c>
      <c r="I13" t="s">
        <v>223</v>
      </c>
    </row>
    <row r="14" spans="1:10" x14ac:dyDescent="0.2">
      <c r="A14" t="s">
        <v>227</v>
      </c>
      <c r="B14">
        <v>1</v>
      </c>
      <c r="C14" t="s">
        <v>228</v>
      </c>
      <c r="D14" t="s">
        <v>229</v>
      </c>
      <c r="E14" t="s">
        <v>12</v>
      </c>
      <c r="F14" t="s">
        <v>13</v>
      </c>
      <c r="G14">
        <v>1</v>
      </c>
      <c r="H14">
        <v>7</v>
      </c>
      <c r="I14" t="s">
        <v>223</v>
      </c>
    </row>
    <row r="15" spans="1:10" x14ac:dyDescent="0.2">
      <c r="A15" t="s">
        <v>386</v>
      </c>
      <c r="B15">
        <v>1</v>
      </c>
      <c r="C15" t="s">
        <v>387</v>
      </c>
      <c r="D15" t="s">
        <v>388</v>
      </c>
      <c r="E15" t="s">
        <v>12</v>
      </c>
      <c r="F15" t="s">
        <v>13</v>
      </c>
      <c r="G15">
        <v>1</v>
      </c>
      <c r="H15">
        <v>7</v>
      </c>
      <c r="I15" t="s">
        <v>83</v>
      </c>
    </row>
    <row r="16" spans="1:10" x14ac:dyDescent="0.2">
      <c r="A16" t="s">
        <v>236</v>
      </c>
      <c r="B16">
        <v>1.1000000000000001</v>
      </c>
      <c r="C16" t="s">
        <v>237</v>
      </c>
      <c r="D16" t="s">
        <v>238</v>
      </c>
      <c r="E16" t="s">
        <v>12</v>
      </c>
      <c r="F16" t="s">
        <v>13</v>
      </c>
      <c r="G16">
        <v>1</v>
      </c>
      <c r="H16">
        <v>8</v>
      </c>
      <c r="I16" t="s">
        <v>223</v>
      </c>
    </row>
    <row r="17" spans="1:10" x14ac:dyDescent="0.2">
      <c r="A17" t="s">
        <v>374</v>
      </c>
      <c r="B17">
        <v>1.3</v>
      </c>
      <c r="C17" t="s">
        <v>375</v>
      </c>
      <c r="D17" t="s">
        <v>376</v>
      </c>
      <c r="E17" t="s">
        <v>12</v>
      </c>
      <c r="F17" t="s">
        <v>13</v>
      </c>
      <c r="G17">
        <v>1</v>
      </c>
      <c r="H17">
        <v>8</v>
      </c>
      <c r="I17" t="s">
        <v>83</v>
      </c>
    </row>
    <row r="18" spans="1:10" x14ac:dyDescent="0.2">
      <c r="A18" t="s">
        <v>45</v>
      </c>
      <c r="B18">
        <v>1.25</v>
      </c>
      <c r="C18" t="s">
        <v>46</v>
      </c>
      <c r="E18" t="s">
        <v>12</v>
      </c>
      <c r="F18" t="s">
        <v>13</v>
      </c>
      <c r="G18">
        <v>1</v>
      </c>
      <c r="H18">
        <v>9</v>
      </c>
      <c r="I18" t="s">
        <v>22</v>
      </c>
      <c r="J18" t="s">
        <v>15</v>
      </c>
    </row>
    <row r="19" spans="1:10" x14ac:dyDescent="0.2">
      <c r="A19" t="s">
        <v>248</v>
      </c>
      <c r="B19">
        <v>1</v>
      </c>
      <c r="C19" t="s">
        <v>249</v>
      </c>
      <c r="D19" t="s">
        <v>250</v>
      </c>
      <c r="E19" t="s">
        <v>12</v>
      </c>
      <c r="F19" t="s">
        <v>13</v>
      </c>
      <c r="G19">
        <v>2</v>
      </c>
      <c r="H19">
        <v>9</v>
      </c>
      <c r="I19" t="s">
        <v>223</v>
      </c>
    </row>
    <row r="20" spans="1:10" x14ac:dyDescent="0.2">
      <c r="A20" t="s">
        <v>43</v>
      </c>
      <c r="B20">
        <v>1.25</v>
      </c>
      <c r="C20" t="s">
        <v>44</v>
      </c>
      <c r="E20" t="s">
        <v>12</v>
      </c>
      <c r="F20" t="s">
        <v>13</v>
      </c>
      <c r="G20">
        <v>1</v>
      </c>
      <c r="H20">
        <v>10</v>
      </c>
      <c r="I20" t="s">
        <v>22</v>
      </c>
      <c r="J20" t="s">
        <v>15</v>
      </c>
    </row>
    <row r="21" spans="1:10" x14ac:dyDescent="0.2">
      <c r="A21" t="s">
        <v>266</v>
      </c>
      <c r="B21">
        <v>1.3</v>
      </c>
      <c r="C21" t="s">
        <v>267</v>
      </c>
      <c r="D21" t="s">
        <v>268</v>
      </c>
      <c r="E21" t="s">
        <v>12</v>
      </c>
      <c r="F21" t="s">
        <v>13</v>
      </c>
      <c r="G21">
        <v>1</v>
      </c>
      <c r="H21">
        <v>10</v>
      </c>
      <c r="I21" t="s">
        <v>223</v>
      </c>
    </row>
    <row r="22" spans="1:10" x14ac:dyDescent="0.2">
      <c r="A22" t="s">
        <v>245</v>
      </c>
      <c r="B22">
        <v>1.4</v>
      </c>
      <c r="C22" t="s">
        <v>246</v>
      </c>
      <c r="D22" t="s">
        <v>247</v>
      </c>
      <c r="E22" t="s">
        <v>12</v>
      </c>
      <c r="F22" t="s">
        <v>13</v>
      </c>
      <c r="G22">
        <v>1</v>
      </c>
      <c r="H22">
        <v>11</v>
      </c>
      <c r="I22" t="s">
        <v>223</v>
      </c>
    </row>
    <row r="23" spans="1:10" x14ac:dyDescent="0.2">
      <c r="A23" t="s">
        <v>389</v>
      </c>
      <c r="B23">
        <v>1.1499999999999999</v>
      </c>
      <c r="C23" t="s">
        <v>390</v>
      </c>
      <c r="D23" t="s">
        <v>391</v>
      </c>
      <c r="E23" t="s">
        <v>12</v>
      </c>
      <c r="F23" t="s">
        <v>13</v>
      </c>
      <c r="G23">
        <v>1</v>
      </c>
      <c r="H23">
        <v>11</v>
      </c>
      <c r="I23" t="s">
        <v>83</v>
      </c>
    </row>
    <row r="24" spans="1:10" x14ac:dyDescent="0.2">
      <c r="A24" t="s">
        <v>37</v>
      </c>
      <c r="B24">
        <v>1.2</v>
      </c>
      <c r="C24" t="s">
        <v>38</v>
      </c>
      <c r="E24" t="s">
        <v>12</v>
      </c>
      <c r="F24" t="s">
        <v>13</v>
      </c>
      <c r="G24">
        <v>1</v>
      </c>
      <c r="H24">
        <v>12</v>
      </c>
      <c r="I24" t="s">
        <v>22</v>
      </c>
      <c r="J24" t="s">
        <v>15</v>
      </c>
    </row>
    <row r="25" spans="1:10" x14ac:dyDescent="0.2">
      <c r="A25" t="s">
        <v>362</v>
      </c>
      <c r="B25">
        <v>1.2</v>
      </c>
      <c r="C25" t="s">
        <v>363</v>
      </c>
      <c r="D25" t="s">
        <v>364</v>
      </c>
      <c r="E25" t="s">
        <v>12</v>
      </c>
      <c r="F25" t="s">
        <v>13</v>
      </c>
      <c r="G25">
        <v>1</v>
      </c>
      <c r="H25">
        <v>12</v>
      </c>
      <c r="I25" t="s">
        <v>223</v>
      </c>
    </row>
    <row r="26" spans="1:10" x14ac:dyDescent="0.2">
      <c r="A26" t="s">
        <v>272</v>
      </c>
      <c r="B26">
        <v>1.4</v>
      </c>
      <c r="C26" t="s">
        <v>273</v>
      </c>
      <c r="D26" t="s">
        <v>274</v>
      </c>
      <c r="E26" t="s">
        <v>12</v>
      </c>
      <c r="F26" t="s">
        <v>13</v>
      </c>
      <c r="G26">
        <v>1</v>
      </c>
      <c r="H26">
        <v>13</v>
      </c>
      <c r="I26" t="s">
        <v>223</v>
      </c>
    </row>
    <row r="27" spans="1:10" x14ac:dyDescent="0.2">
      <c r="A27" t="s">
        <v>377</v>
      </c>
      <c r="B27">
        <v>1.4</v>
      </c>
      <c r="C27" t="s">
        <v>378</v>
      </c>
      <c r="D27" t="s">
        <v>379</v>
      </c>
      <c r="E27" t="s">
        <v>12</v>
      </c>
      <c r="F27" t="s">
        <v>13</v>
      </c>
      <c r="G27">
        <v>1</v>
      </c>
      <c r="H27">
        <v>13</v>
      </c>
      <c r="I27" t="s">
        <v>83</v>
      </c>
    </row>
    <row r="28" spans="1:10" x14ac:dyDescent="0.2">
      <c r="A28" t="s">
        <v>61</v>
      </c>
      <c r="B28">
        <v>1.25</v>
      </c>
      <c r="C28" t="s">
        <v>62</v>
      </c>
      <c r="E28" t="s">
        <v>12</v>
      </c>
      <c r="F28" t="s">
        <v>13</v>
      </c>
      <c r="G28">
        <v>1</v>
      </c>
      <c r="H28">
        <v>14</v>
      </c>
      <c r="I28" t="s">
        <v>22</v>
      </c>
      <c r="J28" t="s">
        <v>15</v>
      </c>
    </row>
    <row r="29" spans="1:10" x14ac:dyDescent="0.2">
      <c r="A29" t="s">
        <v>281</v>
      </c>
      <c r="B29">
        <v>1.4</v>
      </c>
      <c r="C29" t="s">
        <v>282</v>
      </c>
      <c r="D29" t="s">
        <v>283</v>
      </c>
      <c r="E29" t="s">
        <v>12</v>
      </c>
      <c r="F29" t="s">
        <v>13</v>
      </c>
      <c r="G29">
        <v>1</v>
      </c>
      <c r="H29">
        <v>14</v>
      </c>
      <c r="I29" t="s">
        <v>223</v>
      </c>
    </row>
    <row r="30" spans="1:10" x14ac:dyDescent="0.2">
      <c r="A30" t="s">
        <v>278</v>
      </c>
      <c r="B30">
        <v>1</v>
      </c>
      <c r="C30" t="s">
        <v>279</v>
      </c>
      <c r="D30" t="s">
        <v>280</v>
      </c>
      <c r="E30" t="s">
        <v>12</v>
      </c>
      <c r="F30" t="s">
        <v>13</v>
      </c>
      <c r="G30">
        <v>1</v>
      </c>
      <c r="H30">
        <v>15</v>
      </c>
      <c r="I30" t="s">
        <v>223</v>
      </c>
    </row>
    <row r="31" spans="1:10" x14ac:dyDescent="0.2">
      <c r="A31" t="s">
        <v>368</v>
      </c>
      <c r="B31">
        <v>1.3</v>
      </c>
      <c r="C31" t="s">
        <v>369</v>
      </c>
      <c r="D31" t="s">
        <v>370</v>
      </c>
      <c r="E31" t="s">
        <v>12</v>
      </c>
      <c r="F31" t="s">
        <v>13</v>
      </c>
      <c r="G31">
        <v>1</v>
      </c>
      <c r="H31">
        <v>15</v>
      </c>
      <c r="I31" t="s">
        <v>83</v>
      </c>
    </row>
    <row r="32" spans="1:10" x14ac:dyDescent="0.2">
      <c r="A32" t="s">
        <v>75</v>
      </c>
      <c r="B32">
        <v>1.25</v>
      </c>
      <c r="C32" t="s">
        <v>76</v>
      </c>
      <c r="E32" t="s">
        <v>12</v>
      </c>
      <c r="F32" t="s">
        <v>13</v>
      </c>
      <c r="G32">
        <v>1</v>
      </c>
      <c r="H32">
        <v>16</v>
      </c>
      <c r="I32" t="s">
        <v>22</v>
      </c>
      <c r="J32" t="s">
        <v>15</v>
      </c>
    </row>
    <row r="33" spans="1:9" x14ac:dyDescent="0.2">
      <c r="A33" t="s">
        <v>275</v>
      </c>
      <c r="B33">
        <v>1</v>
      </c>
      <c r="C33" t="s">
        <v>276</v>
      </c>
      <c r="D33" t="s">
        <v>277</v>
      </c>
      <c r="E33" t="s">
        <v>12</v>
      </c>
      <c r="F33" t="s">
        <v>13</v>
      </c>
      <c r="G33">
        <v>1</v>
      </c>
      <c r="H33">
        <v>16</v>
      </c>
      <c r="I33" t="s">
        <v>223</v>
      </c>
    </row>
    <row r="34" spans="1:9" x14ac:dyDescent="0.2">
      <c r="A34" t="s">
        <v>77</v>
      </c>
      <c r="B34">
        <v>1.25</v>
      </c>
      <c r="C34" t="s">
        <v>78</v>
      </c>
      <c r="D34" t="s">
        <v>79</v>
      </c>
      <c r="E34" t="s">
        <v>12</v>
      </c>
      <c r="F34" t="s">
        <v>13</v>
      </c>
      <c r="G34">
        <v>1</v>
      </c>
      <c r="H34">
        <v>17</v>
      </c>
      <c r="I34" t="s">
        <v>22</v>
      </c>
    </row>
    <row r="35" spans="1:9" x14ac:dyDescent="0.2">
      <c r="A35" t="s">
        <v>242</v>
      </c>
      <c r="B35">
        <v>1.2</v>
      </c>
      <c r="C35" t="s">
        <v>243</v>
      </c>
      <c r="D35" t="s">
        <v>244</v>
      </c>
      <c r="E35" t="s">
        <v>12</v>
      </c>
      <c r="F35" t="s">
        <v>13</v>
      </c>
      <c r="G35">
        <v>1</v>
      </c>
      <c r="H35">
        <v>17</v>
      </c>
      <c r="I35" t="s">
        <v>223</v>
      </c>
    </row>
    <row r="36" spans="1:9" x14ac:dyDescent="0.2">
      <c r="A36" t="s">
        <v>308</v>
      </c>
      <c r="B36">
        <v>1.2</v>
      </c>
      <c r="C36" t="s">
        <v>309</v>
      </c>
      <c r="D36" t="s">
        <v>310</v>
      </c>
      <c r="E36" t="s">
        <v>87</v>
      </c>
      <c r="F36" t="s">
        <v>13</v>
      </c>
      <c r="G36">
        <v>1</v>
      </c>
      <c r="H36">
        <v>18</v>
      </c>
      <c r="I36" t="s">
        <v>223</v>
      </c>
    </row>
    <row r="37" spans="1:9" x14ac:dyDescent="0.2">
      <c r="A37" t="s">
        <v>109</v>
      </c>
      <c r="B37">
        <v>1.3</v>
      </c>
      <c r="C37" t="s">
        <v>110</v>
      </c>
      <c r="D37" t="s">
        <v>111</v>
      </c>
      <c r="E37" t="s">
        <v>87</v>
      </c>
      <c r="F37" t="s">
        <v>13</v>
      </c>
      <c r="G37">
        <v>1</v>
      </c>
      <c r="H37">
        <v>18</v>
      </c>
      <c r="I37" t="s">
        <v>83</v>
      </c>
    </row>
    <row r="38" spans="1:9" x14ac:dyDescent="0.2">
      <c r="A38" t="s">
        <v>302</v>
      </c>
      <c r="B38">
        <v>1</v>
      </c>
      <c r="C38" t="s">
        <v>303</v>
      </c>
      <c r="D38" t="s">
        <v>304</v>
      </c>
      <c r="E38" t="s">
        <v>87</v>
      </c>
      <c r="F38" t="s">
        <v>13</v>
      </c>
      <c r="G38">
        <v>2</v>
      </c>
      <c r="H38">
        <v>19</v>
      </c>
      <c r="I38" t="s">
        <v>223</v>
      </c>
    </row>
    <row r="39" spans="1:9" x14ac:dyDescent="0.2">
      <c r="A39" t="s">
        <v>103</v>
      </c>
      <c r="B39">
        <v>1.35</v>
      </c>
      <c r="C39" t="s">
        <v>104</v>
      </c>
      <c r="D39" t="s">
        <v>105</v>
      </c>
      <c r="E39" t="s">
        <v>87</v>
      </c>
      <c r="F39" t="s">
        <v>13</v>
      </c>
      <c r="G39">
        <v>1</v>
      </c>
      <c r="H39">
        <v>19</v>
      </c>
      <c r="I39" t="s">
        <v>83</v>
      </c>
    </row>
    <row r="40" spans="1:9" x14ac:dyDescent="0.2">
      <c r="A40" t="s">
        <v>293</v>
      </c>
      <c r="B40">
        <v>1.25</v>
      </c>
      <c r="C40" t="s">
        <v>294</v>
      </c>
      <c r="D40" t="s">
        <v>295</v>
      </c>
      <c r="E40" t="s">
        <v>87</v>
      </c>
      <c r="F40" t="s">
        <v>13</v>
      </c>
      <c r="G40">
        <v>1</v>
      </c>
      <c r="H40">
        <v>20</v>
      </c>
      <c r="I40" t="s">
        <v>223</v>
      </c>
    </row>
    <row r="41" spans="1:9" x14ac:dyDescent="0.2">
      <c r="A41" t="s">
        <v>94</v>
      </c>
      <c r="B41">
        <v>1.1499999999999999</v>
      </c>
      <c r="C41" t="s">
        <v>95</v>
      </c>
      <c r="D41" t="s">
        <v>96</v>
      </c>
      <c r="E41" t="s">
        <v>87</v>
      </c>
      <c r="F41" t="s">
        <v>13</v>
      </c>
      <c r="G41">
        <v>1</v>
      </c>
      <c r="H41">
        <v>20</v>
      </c>
      <c r="I41" t="s">
        <v>83</v>
      </c>
    </row>
    <row r="42" spans="1:9" x14ac:dyDescent="0.2">
      <c r="A42" t="s">
        <v>311</v>
      </c>
      <c r="B42">
        <v>1</v>
      </c>
      <c r="C42" t="s">
        <v>312</v>
      </c>
      <c r="D42" t="s">
        <v>313</v>
      </c>
      <c r="E42" t="s">
        <v>87</v>
      </c>
      <c r="F42" t="s">
        <v>13</v>
      </c>
      <c r="G42">
        <v>2</v>
      </c>
      <c r="H42">
        <v>21</v>
      </c>
      <c r="I42" t="s">
        <v>223</v>
      </c>
    </row>
    <row r="43" spans="1:9" x14ac:dyDescent="0.2">
      <c r="A43" t="s">
        <v>112</v>
      </c>
      <c r="B43">
        <v>1.35</v>
      </c>
      <c r="C43" t="s">
        <v>113</v>
      </c>
      <c r="D43" t="s">
        <v>114</v>
      </c>
      <c r="E43" t="s">
        <v>87</v>
      </c>
      <c r="F43" t="s">
        <v>13</v>
      </c>
      <c r="G43">
        <v>1</v>
      </c>
      <c r="H43">
        <v>21</v>
      </c>
      <c r="I43" t="s">
        <v>83</v>
      </c>
    </row>
    <row r="44" spans="1:9" x14ac:dyDescent="0.2">
      <c r="A44" t="s">
        <v>326</v>
      </c>
      <c r="B44">
        <v>1.25</v>
      </c>
      <c r="C44" t="s">
        <v>327</v>
      </c>
      <c r="D44" t="s">
        <v>328</v>
      </c>
      <c r="E44" t="s">
        <v>87</v>
      </c>
      <c r="F44" t="s">
        <v>13</v>
      </c>
      <c r="G44">
        <v>1</v>
      </c>
      <c r="H44">
        <v>22</v>
      </c>
      <c r="I44" t="s">
        <v>223</v>
      </c>
    </row>
    <row r="45" spans="1:9" x14ac:dyDescent="0.2">
      <c r="A45" t="s">
        <v>133</v>
      </c>
      <c r="B45">
        <v>1.25</v>
      </c>
      <c r="C45" t="s">
        <v>134</v>
      </c>
      <c r="D45" t="s">
        <v>135</v>
      </c>
      <c r="E45" t="s">
        <v>87</v>
      </c>
      <c r="F45" t="s">
        <v>13</v>
      </c>
      <c r="G45">
        <v>1</v>
      </c>
      <c r="H45">
        <v>22</v>
      </c>
      <c r="I45" t="s">
        <v>83</v>
      </c>
    </row>
    <row r="46" spans="1:9" x14ac:dyDescent="0.2">
      <c r="A46" t="s">
        <v>350</v>
      </c>
      <c r="B46">
        <v>1.3</v>
      </c>
      <c r="C46" t="s">
        <v>351</v>
      </c>
      <c r="D46" t="s">
        <v>352</v>
      </c>
      <c r="E46" t="s">
        <v>87</v>
      </c>
      <c r="F46" t="s">
        <v>13</v>
      </c>
      <c r="G46">
        <v>1</v>
      </c>
      <c r="H46">
        <v>23</v>
      </c>
      <c r="I46" t="s">
        <v>223</v>
      </c>
    </row>
    <row r="47" spans="1:9" x14ac:dyDescent="0.2">
      <c r="A47" t="s">
        <v>148</v>
      </c>
      <c r="B47">
        <v>1.2</v>
      </c>
      <c r="C47" t="s">
        <v>149</v>
      </c>
      <c r="D47" t="s">
        <v>150</v>
      </c>
      <c r="E47" t="s">
        <v>87</v>
      </c>
      <c r="F47" t="s">
        <v>13</v>
      </c>
      <c r="G47">
        <v>1</v>
      </c>
      <c r="H47">
        <v>23</v>
      </c>
      <c r="I47" t="s">
        <v>83</v>
      </c>
    </row>
    <row r="48" spans="1:9" x14ac:dyDescent="0.2">
      <c r="A48" t="s">
        <v>341</v>
      </c>
      <c r="B48">
        <v>1</v>
      </c>
      <c r="C48" t="s">
        <v>342</v>
      </c>
      <c r="D48" t="s">
        <v>343</v>
      </c>
      <c r="E48" t="s">
        <v>87</v>
      </c>
      <c r="F48" t="s">
        <v>13</v>
      </c>
      <c r="G48">
        <v>1</v>
      </c>
      <c r="H48">
        <v>24</v>
      </c>
      <c r="I48" t="s">
        <v>223</v>
      </c>
    </row>
    <row r="49" spans="1:9" x14ac:dyDescent="0.2">
      <c r="A49" t="s">
        <v>151</v>
      </c>
      <c r="B49">
        <v>1.35</v>
      </c>
      <c r="C49" t="s">
        <v>152</v>
      </c>
      <c r="D49" t="s">
        <v>153</v>
      </c>
      <c r="E49" t="s">
        <v>87</v>
      </c>
      <c r="F49" t="s">
        <v>13</v>
      </c>
      <c r="G49">
        <v>1</v>
      </c>
      <c r="H49">
        <v>24</v>
      </c>
      <c r="I49" t="s">
        <v>83</v>
      </c>
    </row>
    <row r="50" spans="1:9" x14ac:dyDescent="0.2">
      <c r="A50" t="s">
        <v>290</v>
      </c>
      <c r="B50">
        <v>1.1000000000000001</v>
      </c>
      <c r="C50" t="s">
        <v>291</v>
      </c>
      <c r="D50" t="s">
        <v>292</v>
      </c>
      <c r="E50" t="s">
        <v>87</v>
      </c>
      <c r="F50" t="s">
        <v>13</v>
      </c>
      <c r="G50">
        <v>1</v>
      </c>
      <c r="H50">
        <v>25</v>
      </c>
      <c r="I50" t="s">
        <v>223</v>
      </c>
    </row>
    <row r="51" spans="1:9" x14ac:dyDescent="0.2">
      <c r="A51" t="s">
        <v>97</v>
      </c>
      <c r="B51">
        <v>1.2</v>
      </c>
      <c r="C51" t="s">
        <v>98</v>
      </c>
      <c r="D51" t="s">
        <v>99</v>
      </c>
      <c r="E51" t="s">
        <v>87</v>
      </c>
      <c r="F51" t="s">
        <v>13</v>
      </c>
      <c r="G51">
        <v>1</v>
      </c>
      <c r="H51">
        <v>25</v>
      </c>
      <c r="I51" t="s">
        <v>83</v>
      </c>
    </row>
    <row r="52" spans="1:9" x14ac:dyDescent="0.2">
      <c r="A52" t="s">
        <v>287</v>
      </c>
      <c r="B52">
        <v>1</v>
      </c>
      <c r="C52" t="s">
        <v>288</v>
      </c>
      <c r="D52" t="s">
        <v>289</v>
      </c>
      <c r="E52" t="s">
        <v>87</v>
      </c>
      <c r="F52" t="s">
        <v>13</v>
      </c>
      <c r="G52">
        <v>1</v>
      </c>
      <c r="H52">
        <v>26</v>
      </c>
      <c r="I52" t="s">
        <v>223</v>
      </c>
    </row>
    <row r="53" spans="1:9" x14ac:dyDescent="0.2">
      <c r="A53" t="s">
        <v>100</v>
      </c>
      <c r="B53">
        <v>1.2</v>
      </c>
      <c r="C53" t="s">
        <v>101</v>
      </c>
      <c r="D53" t="s">
        <v>102</v>
      </c>
      <c r="E53" t="s">
        <v>87</v>
      </c>
      <c r="F53" t="s">
        <v>13</v>
      </c>
      <c r="G53">
        <v>1</v>
      </c>
      <c r="H53">
        <v>26</v>
      </c>
      <c r="I53" t="s">
        <v>83</v>
      </c>
    </row>
    <row r="54" spans="1:9" x14ac:dyDescent="0.2">
      <c r="A54" t="s">
        <v>317</v>
      </c>
      <c r="B54">
        <v>1.2</v>
      </c>
      <c r="C54" t="s">
        <v>318</v>
      </c>
      <c r="D54" t="s">
        <v>319</v>
      </c>
      <c r="E54" t="s">
        <v>87</v>
      </c>
      <c r="F54" t="s">
        <v>13</v>
      </c>
      <c r="G54">
        <v>1</v>
      </c>
      <c r="H54">
        <v>27</v>
      </c>
      <c r="I54" t="s">
        <v>223</v>
      </c>
    </row>
    <row r="55" spans="1:9" x14ac:dyDescent="0.2">
      <c r="A55" t="s">
        <v>121</v>
      </c>
      <c r="B55">
        <v>1.25</v>
      </c>
      <c r="C55" t="s">
        <v>122</v>
      </c>
      <c r="D55" t="s">
        <v>123</v>
      </c>
      <c r="E55" t="s">
        <v>87</v>
      </c>
      <c r="F55" t="s">
        <v>13</v>
      </c>
      <c r="G55">
        <v>1</v>
      </c>
      <c r="H55">
        <v>27</v>
      </c>
      <c r="I55" t="s">
        <v>83</v>
      </c>
    </row>
    <row r="56" spans="1:9" x14ac:dyDescent="0.2">
      <c r="A56" t="s">
        <v>230</v>
      </c>
      <c r="B56">
        <v>1.25</v>
      </c>
      <c r="C56" t="s">
        <v>231</v>
      </c>
      <c r="D56" t="s">
        <v>232</v>
      </c>
      <c r="E56" t="s">
        <v>12</v>
      </c>
      <c r="F56" t="s">
        <v>13</v>
      </c>
      <c r="G56">
        <v>1</v>
      </c>
      <c r="H56">
        <v>28</v>
      </c>
      <c r="I56" t="s">
        <v>223</v>
      </c>
    </row>
    <row r="57" spans="1:9" x14ac:dyDescent="0.2">
      <c r="A57" t="s">
        <v>115</v>
      </c>
      <c r="B57">
        <v>1.1499999999999999</v>
      </c>
      <c r="C57" t="s">
        <v>116</v>
      </c>
      <c r="D57" t="s">
        <v>117</v>
      </c>
      <c r="E57" t="s">
        <v>12</v>
      </c>
      <c r="F57" t="s">
        <v>13</v>
      </c>
      <c r="G57">
        <v>1</v>
      </c>
      <c r="H57">
        <v>28</v>
      </c>
      <c r="I57" t="s">
        <v>83</v>
      </c>
    </row>
    <row r="58" spans="1:9" x14ac:dyDescent="0.2">
      <c r="A58" t="s">
        <v>353</v>
      </c>
      <c r="B58">
        <v>1</v>
      </c>
      <c r="C58" t="s">
        <v>354</v>
      </c>
      <c r="D58" t="s">
        <v>355</v>
      </c>
      <c r="E58" t="s">
        <v>87</v>
      </c>
      <c r="F58" t="s">
        <v>13</v>
      </c>
      <c r="G58">
        <v>2</v>
      </c>
      <c r="H58">
        <v>29</v>
      </c>
      <c r="I58" t="s">
        <v>223</v>
      </c>
    </row>
    <row r="59" spans="1:9" x14ac:dyDescent="0.2">
      <c r="A59" t="s">
        <v>160</v>
      </c>
      <c r="B59">
        <v>1</v>
      </c>
      <c r="C59" t="s">
        <v>161</v>
      </c>
      <c r="D59" t="s">
        <v>162</v>
      </c>
      <c r="E59" t="s">
        <v>87</v>
      </c>
      <c r="F59" t="s">
        <v>13</v>
      </c>
      <c r="G59">
        <v>2</v>
      </c>
      <c r="H59">
        <v>29</v>
      </c>
      <c r="I59" t="s">
        <v>83</v>
      </c>
    </row>
    <row r="60" spans="1:9" x14ac:dyDescent="0.2">
      <c r="A60" t="s">
        <v>338</v>
      </c>
      <c r="B60">
        <v>1.2</v>
      </c>
      <c r="C60" t="s">
        <v>339</v>
      </c>
      <c r="D60" t="s">
        <v>340</v>
      </c>
      <c r="E60" t="s">
        <v>87</v>
      </c>
      <c r="F60" t="s">
        <v>13</v>
      </c>
      <c r="G60">
        <v>1</v>
      </c>
      <c r="H60">
        <v>30</v>
      </c>
      <c r="I60" t="s">
        <v>223</v>
      </c>
    </row>
    <row r="61" spans="1:9" x14ac:dyDescent="0.2">
      <c r="A61" t="s">
        <v>130</v>
      </c>
      <c r="B61">
        <v>1.25</v>
      </c>
      <c r="C61" t="s">
        <v>131</v>
      </c>
      <c r="D61" t="s">
        <v>132</v>
      </c>
      <c r="E61" t="s">
        <v>87</v>
      </c>
      <c r="F61" t="s">
        <v>13</v>
      </c>
      <c r="G61">
        <v>1</v>
      </c>
      <c r="H61">
        <v>30</v>
      </c>
      <c r="I61" t="s">
        <v>83</v>
      </c>
    </row>
    <row r="62" spans="1:9" x14ac:dyDescent="0.2">
      <c r="A62" t="s">
        <v>305</v>
      </c>
      <c r="B62">
        <v>1.25</v>
      </c>
      <c r="C62" t="s">
        <v>306</v>
      </c>
      <c r="D62" t="s">
        <v>307</v>
      </c>
      <c r="E62" t="s">
        <v>87</v>
      </c>
      <c r="F62" t="s">
        <v>13</v>
      </c>
      <c r="G62">
        <v>1</v>
      </c>
      <c r="H62">
        <v>31</v>
      </c>
      <c r="I62" t="s">
        <v>223</v>
      </c>
    </row>
    <row r="63" spans="1:9" x14ac:dyDescent="0.2">
      <c r="A63" t="s">
        <v>106</v>
      </c>
      <c r="B63">
        <v>1.25</v>
      </c>
      <c r="C63" t="s">
        <v>107</v>
      </c>
      <c r="D63" t="s">
        <v>108</v>
      </c>
      <c r="E63" t="s">
        <v>87</v>
      </c>
      <c r="F63" t="s">
        <v>13</v>
      </c>
      <c r="G63">
        <v>1</v>
      </c>
      <c r="H63">
        <v>31</v>
      </c>
      <c r="I63" t="s">
        <v>83</v>
      </c>
    </row>
    <row r="64" spans="1:9" x14ac:dyDescent="0.2">
      <c r="A64" t="s">
        <v>323</v>
      </c>
      <c r="B64">
        <v>1.25</v>
      </c>
      <c r="C64" t="s">
        <v>324</v>
      </c>
      <c r="D64" t="s">
        <v>325</v>
      </c>
      <c r="E64" t="s">
        <v>87</v>
      </c>
      <c r="F64" t="s">
        <v>13</v>
      </c>
      <c r="G64">
        <v>1</v>
      </c>
      <c r="H64">
        <v>32</v>
      </c>
      <c r="I64" t="s">
        <v>223</v>
      </c>
    </row>
    <row r="65" spans="1:9" x14ac:dyDescent="0.2">
      <c r="A65" t="s">
        <v>142</v>
      </c>
      <c r="B65">
        <v>1.25</v>
      </c>
      <c r="C65" t="s">
        <v>143</v>
      </c>
      <c r="D65" t="s">
        <v>144</v>
      </c>
      <c r="E65" t="s">
        <v>87</v>
      </c>
      <c r="F65" t="s">
        <v>13</v>
      </c>
      <c r="G65">
        <v>1</v>
      </c>
      <c r="H65">
        <v>32</v>
      </c>
      <c r="I65" t="s">
        <v>83</v>
      </c>
    </row>
    <row r="66" spans="1:9" x14ac:dyDescent="0.2">
      <c r="A66" t="s">
        <v>347</v>
      </c>
      <c r="B66">
        <v>1</v>
      </c>
      <c r="C66" t="s">
        <v>348</v>
      </c>
      <c r="D66" t="s">
        <v>349</v>
      </c>
      <c r="E66" t="s">
        <v>87</v>
      </c>
      <c r="F66" t="s">
        <v>13</v>
      </c>
      <c r="G66">
        <v>2</v>
      </c>
      <c r="H66">
        <v>33</v>
      </c>
      <c r="I66" t="s">
        <v>223</v>
      </c>
    </row>
    <row r="67" spans="1:9" x14ac:dyDescent="0.2">
      <c r="A67" t="s">
        <v>163</v>
      </c>
      <c r="B67">
        <v>1.35</v>
      </c>
      <c r="C67" t="s">
        <v>164</v>
      </c>
      <c r="D67" t="s">
        <v>165</v>
      </c>
      <c r="E67" t="s">
        <v>87</v>
      </c>
      <c r="F67" t="s">
        <v>13</v>
      </c>
      <c r="G67">
        <v>1</v>
      </c>
      <c r="H67">
        <v>33</v>
      </c>
      <c r="I67" t="s">
        <v>83</v>
      </c>
    </row>
    <row r="68" spans="1:9" x14ac:dyDescent="0.2">
      <c r="A68" t="s">
        <v>296</v>
      </c>
      <c r="B68">
        <v>1.4</v>
      </c>
      <c r="C68" t="s">
        <v>297</v>
      </c>
      <c r="D68" t="s">
        <v>298</v>
      </c>
      <c r="E68" t="s">
        <v>87</v>
      </c>
      <c r="F68" t="s">
        <v>13</v>
      </c>
      <c r="G68">
        <v>1</v>
      </c>
      <c r="H68">
        <v>34</v>
      </c>
      <c r="I68" t="s">
        <v>223</v>
      </c>
    </row>
    <row r="69" spans="1:9" x14ac:dyDescent="0.2">
      <c r="A69" t="s">
        <v>84</v>
      </c>
      <c r="B69">
        <v>1.3</v>
      </c>
      <c r="C69" t="s">
        <v>85</v>
      </c>
      <c r="D69" t="s">
        <v>86</v>
      </c>
      <c r="E69" t="s">
        <v>87</v>
      </c>
      <c r="F69" t="s">
        <v>13</v>
      </c>
      <c r="G69">
        <v>1</v>
      </c>
      <c r="H69">
        <v>34</v>
      </c>
      <c r="I69" t="s">
        <v>83</v>
      </c>
    </row>
    <row r="70" spans="1:9" x14ac:dyDescent="0.2">
      <c r="A70" t="s">
        <v>344</v>
      </c>
      <c r="B70">
        <v>1.25</v>
      </c>
      <c r="C70" t="s">
        <v>345</v>
      </c>
      <c r="D70" t="s">
        <v>346</v>
      </c>
      <c r="E70" t="s">
        <v>87</v>
      </c>
      <c r="F70" t="s">
        <v>13</v>
      </c>
      <c r="G70">
        <v>1</v>
      </c>
      <c r="H70">
        <v>35</v>
      </c>
      <c r="I70" t="s">
        <v>223</v>
      </c>
    </row>
    <row r="71" spans="1:9" x14ac:dyDescent="0.2">
      <c r="A71" t="s">
        <v>154</v>
      </c>
      <c r="B71">
        <v>1.1499999999999999</v>
      </c>
      <c r="C71" t="s">
        <v>155</v>
      </c>
      <c r="D71" t="s">
        <v>156</v>
      </c>
      <c r="E71" t="s">
        <v>87</v>
      </c>
      <c r="F71" t="s">
        <v>13</v>
      </c>
      <c r="G71">
        <v>1</v>
      </c>
      <c r="H71">
        <v>35</v>
      </c>
      <c r="I71" t="s">
        <v>83</v>
      </c>
    </row>
    <row r="72" spans="1:9" x14ac:dyDescent="0.2">
      <c r="A72" t="s">
        <v>284</v>
      </c>
      <c r="B72">
        <v>1.3</v>
      </c>
      <c r="C72" t="s">
        <v>285</v>
      </c>
      <c r="D72" t="s">
        <v>286</v>
      </c>
      <c r="E72" t="s">
        <v>87</v>
      </c>
      <c r="F72" t="s">
        <v>13</v>
      </c>
      <c r="G72">
        <v>1</v>
      </c>
      <c r="H72">
        <v>36</v>
      </c>
      <c r="I72" t="s">
        <v>223</v>
      </c>
    </row>
    <row r="73" spans="1:9" x14ac:dyDescent="0.2">
      <c r="A73" t="s">
        <v>127</v>
      </c>
      <c r="B73">
        <v>1.45</v>
      </c>
      <c r="C73" t="s">
        <v>128</v>
      </c>
      <c r="D73" t="s">
        <v>129</v>
      </c>
      <c r="E73" t="s">
        <v>87</v>
      </c>
      <c r="F73" t="s">
        <v>13</v>
      </c>
      <c r="G73">
        <v>1</v>
      </c>
      <c r="H73">
        <v>36</v>
      </c>
      <c r="I73" t="s">
        <v>83</v>
      </c>
    </row>
    <row r="74" spans="1:9" x14ac:dyDescent="0.2">
      <c r="A74" t="s">
        <v>335</v>
      </c>
      <c r="B74">
        <v>1.25</v>
      </c>
      <c r="C74" t="s">
        <v>336</v>
      </c>
      <c r="D74" t="s">
        <v>337</v>
      </c>
      <c r="E74" t="s">
        <v>87</v>
      </c>
      <c r="F74" t="s">
        <v>13</v>
      </c>
      <c r="G74">
        <v>1</v>
      </c>
      <c r="H74">
        <v>37</v>
      </c>
      <c r="I74" t="s">
        <v>223</v>
      </c>
    </row>
    <row r="75" spans="1:9" x14ac:dyDescent="0.2">
      <c r="A75" t="s">
        <v>136</v>
      </c>
      <c r="B75">
        <v>1.3</v>
      </c>
      <c r="C75" t="s">
        <v>137</v>
      </c>
      <c r="D75" t="s">
        <v>138</v>
      </c>
      <c r="E75" t="s">
        <v>87</v>
      </c>
      <c r="F75" t="s">
        <v>13</v>
      </c>
      <c r="G75">
        <v>1</v>
      </c>
      <c r="H75">
        <v>37</v>
      </c>
      <c r="I75" t="s">
        <v>83</v>
      </c>
    </row>
    <row r="76" spans="1:9" x14ac:dyDescent="0.2">
      <c r="A76" t="s">
        <v>299</v>
      </c>
      <c r="B76">
        <v>1.3</v>
      </c>
      <c r="C76" t="s">
        <v>300</v>
      </c>
      <c r="D76" t="s">
        <v>301</v>
      </c>
      <c r="E76" t="s">
        <v>87</v>
      </c>
      <c r="F76" t="s">
        <v>13</v>
      </c>
      <c r="G76">
        <v>1</v>
      </c>
      <c r="H76">
        <v>38</v>
      </c>
      <c r="I76" t="s">
        <v>223</v>
      </c>
    </row>
    <row r="77" spans="1:9" x14ac:dyDescent="0.2">
      <c r="A77" t="s">
        <v>88</v>
      </c>
      <c r="B77">
        <v>1.1000000000000001</v>
      </c>
      <c r="C77" t="s">
        <v>89</v>
      </c>
      <c r="D77" t="s">
        <v>90</v>
      </c>
      <c r="E77" t="s">
        <v>87</v>
      </c>
      <c r="F77" t="s">
        <v>13</v>
      </c>
      <c r="G77">
        <v>1</v>
      </c>
      <c r="H77">
        <v>38</v>
      </c>
      <c r="I77" t="s">
        <v>83</v>
      </c>
    </row>
    <row r="78" spans="1:9" x14ac:dyDescent="0.2">
      <c r="A78" t="s">
        <v>332</v>
      </c>
      <c r="B78">
        <v>1</v>
      </c>
      <c r="C78" t="s">
        <v>333</v>
      </c>
      <c r="D78" t="s">
        <v>334</v>
      </c>
      <c r="E78" t="s">
        <v>87</v>
      </c>
      <c r="F78" t="s">
        <v>13</v>
      </c>
      <c r="G78">
        <v>1</v>
      </c>
      <c r="H78">
        <v>39</v>
      </c>
      <c r="I78" t="s">
        <v>223</v>
      </c>
    </row>
    <row r="79" spans="1:9" x14ac:dyDescent="0.2">
      <c r="A79" t="s">
        <v>166</v>
      </c>
      <c r="B79">
        <v>1.25</v>
      </c>
      <c r="C79" t="s">
        <v>167</v>
      </c>
      <c r="D79" t="s">
        <v>168</v>
      </c>
      <c r="E79" t="s">
        <v>87</v>
      </c>
      <c r="F79" t="s">
        <v>13</v>
      </c>
      <c r="G79">
        <v>1</v>
      </c>
      <c r="H79">
        <v>39</v>
      </c>
      <c r="I79" t="s">
        <v>83</v>
      </c>
    </row>
    <row r="80" spans="1:9" x14ac:dyDescent="0.2">
      <c r="A80" t="s">
        <v>314</v>
      </c>
      <c r="B80">
        <v>1.1000000000000001</v>
      </c>
      <c r="C80" t="s">
        <v>315</v>
      </c>
      <c r="D80" t="s">
        <v>316</v>
      </c>
      <c r="E80" t="s">
        <v>87</v>
      </c>
      <c r="F80" t="s">
        <v>13</v>
      </c>
      <c r="G80">
        <v>1</v>
      </c>
      <c r="H80">
        <v>40</v>
      </c>
      <c r="I80" t="s">
        <v>223</v>
      </c>
    </row>
    <row r="81" spans="1:9" x14ac:dyDescent="0.2">
      <c r="A81" t="s">
        <v>118</v>
      </c>
      <c r="B81">
        <v>1.35</v>
      </c>
      <c r="C81" t="s">
        <v>119</v>
      </c>
      <c r="D81" t="s">
        <v>120</v>
      </c>
      <c r="E81" t="s">
        <v>87</v>
      </c>
      <c r="F81" t="s">
        <v>13</v>
      </c>
      <c r="G81">
        <v>1</v>
      </c>
      <c r="H81">
        <v>40</v>
      </c>
      <c r="I81" t="s">
        <v>83</v>
      </c>
    </row>
    <row r="82" spans="1:9" x14ac:dyDescent="0.2">
      <c r="A82" t="s">
        <v>320</v>
      </c>
      <c r="B82">
        <v>1</v>
      </c>
      <c r="C82" t="s">
        <v>321</v>
      </c>
      <c r="D82" t="s">
        <v>322</v>
      </c>
      <c r="E82" t="s">
        <v>87</v>
      </c>
      <c r="F82" t="s">
        <v>13</v>
      </c>
      <c r="G82">
        <v>2</v>
      </c>
      <c r="H82">
        <v>41</v>
      </c>
      <c r="I82" t="s">
        <v>223</v>
      </c>
    </row>
    <row r="83" spans="1:9" x14ac:dyDescent="0.2">
      <c r="A83" t="s">
        <v>145</v>
      </c>
      <c r="B83">
        <v>1</v>
      </c>
      <c r="C83" t="s">
        <v>146</v>
      </c>
      <c r="D83" t="s">
        <v>147</v>
      </c>
      <c r="E83" t="s">
        <v>87</v>
      </c>
      <c r="F83" t="s">
        <v>13</v>
      </c>
      <c r="G83">
        <v>1</v>
      </c>
      <c r="H83">
        <v>41</v>
      </c>
      <c r="I83" t="s">
        <v>83</v>
      </c>
    </row>
    <row r="84" spans="1:9" x14ac:dyDescent="0.2">
      <c r="A84" t="s">
        <v>329</v>
      </c>
      <c r="B84">
        <v>1</v>
      </c>
      <c r="C84" t="s">
        <v>330</v>
      </c>
      <c r="D84" t="s">
        <v>331</v>
      </c>
      <c r="E84" t="s">
        <v>87</v>
      </c>
      <c r="F84" t="s">
        <v>13</v>
      </c>
      <c r="G84">
        <v>2</v>
      </c>
      <c r="H84">
        <v>42</v>
      </c>
      <c r="I84" t="s">
        <v>223</v>
      </c>
    </row>
    <row r="85" spans="1:9" x14ac:dyDescent="0.2">
      <c r="A85" t="s">
        <v>124</v>
      </c>
      <c r="B85">
        <v>1.4</v>
      </c>
      <c r="C85" t="s">
        <v>125</v>
      </c>
      <c r="D85" t="s">
        <v>126</v>
      </c>
      <c r="E85" t="s">
        <v>87</v>
      </c>
      <c r="F85" t="s">
        <v>13</v>
      </c>
      <c r="G85">
        <v>1</v>
      </c>
      <c r="H85">
        <v>42</v>
      </c>
      <c r="I85" t="s">
        <v>83</v>
      </c>
    </row>
    <row r="86" spans="1:9" x14ac:dyDescent="0.2">
      <c r="A86" t="s">
        <v>356</v>
      </c>
      <c r="B86">
        <v>1.3</v>
      </c>
      <c r="C86" t="s">
        <v>357</v>
      </c>
      <c r="D86" t="s">
        <v>358</v>
      </c>
      <c r="E86" t="s">
        <v>87</v>
      </c>
      <c r="F86" t="s">
        <v>13</v>
      </c>
      <c r="G86">
        <v>1</v>
      </c>
      <c r="H86">
        <v>43</v>
      </c>
      <c r="I86" t="s">
        <v>223</v>
      </c>
    </row>
    <row r="87" spans="1:9" x14ac:dyDescent="0.2">
      <c r="A87" t="s">
        <v>157</v>
      </c>
      <c r="B87">
        <v>1.2</v>
      </c>
      <c r="C87" t="s">
        <v>158</v>
      </c>
      <c r="D87" t="s">
        <v>159</v>
      </c>
      <c r="E87" t="s">
        <v>87</v>
      </c>
      <c r="F87" t="s">
        <v>13</v>
      </c>
      <c r="G87">
        <v>1</v>
      </c>
      <c r="H87">
        <v>43</v>
      </c>
      <c r="I87" t="s">
        <v>83</v>
      </c>
    </row>
    <row r="88" spans="1:9" x14ac:dyDescent="0.2">
      <c r="A88" t="s">
        <v>224</v>
      </c>
      <c r="B88">
        <v>1.25</v>
      </c>
      <c r="C88" t="s">
        <v>225</v>
      </c>
      <c r="D88" t="s">
        <v>226</v>
      </c>
      <c r="E88" t="s">
        <v>12</v>
      </c>
      <c r="F88" t="s">
        <v>13</v>
      </c>
      <c r="G88">
        <v>1</v>
      </c>
      <c r="H88">
        <v>44</v>
      </c>
      <c r="I88" t="s">
        <v>223</v>
      </c>
    </row>
    <row r="89" spans="1:9" x14ac:dyDescent="0.2">
      <c r="A89" t="s">
        <v>91</v>
      </c>
      <c r="B89">
        <v>1.35</v>
      </c>
      <c r="C89" t="s">
        <v>92</v>
      </c>
      <c r="D89" t="s">
        <v>93</v>
      </c>
      <c r="E89" t="s">
        <v>12</v>
      </c>
      <c r="F89" t="s">
        <v>13</v>
      </c>
      <c r="G89">
        <v>1</v>
      </c>
      <c r="H89">
        <v>44</v>
      </c>
      <c r="I89" t="s">
        <v>83</v>
      </c>
    </row>
    <row r="90" spans="1:9" x14ac:dyDescent="0.2">
      <c r="A90" t="s">
        <v>239</v>
      </c>
      <c r="B90">
        <v>1.3</v>
      </c>
      <c r="C90" t="s">
        <v>240</v>
      </c>
      <c r="D90" t="s">
        <v>241</v>
      </c>
      <c r="E90" t="s">
        <v>12</v>
      </c>
      <c r="F90" t="s">
        <v>13</v>
      </c>
      <c r="G90">
        <v>1</v>
      </c>
      <c r="H90">
        <v>45</v>
      </c>
      <c r="I90" t="s">
        <v>223</v>
      </c>
    </row>
    <row r="91" spans="1:9" x14ac:dyDescent="0.2">
      <c r="A91" t="s">
        <v>139</v>
      </c>
      <c r="B91">
        <v>1.35</v>
      </c>
      <c r="C91" t="s">
        <v>140</v>
      </c>
      <c r="D91" t="s">
        <v>141</v>
      </c>
      <c r="E91" t="s">
        <v>12</v>
      </c>
      <c r="F91" t="s">
        <v>13</v>
      </c>
      <c r="G91">
        <v>1</v>
      </c>
      <c r="H91">
        <v>45</v>
      </c>
      <c r="I91" t="s">
        <v>83</v>
      </c>
    </row>
    <row r="92" spans="1:9" x14ac:dyDescent="0.2">
      <c r="A92" t="s">
        <v>263</v>
      </c>
      <c r="B92">
        <v>1.1000000000000001</v>
      </c>
      <c r="C92" t="s">
        <v>264</v>
      </c>
      <c r="D92" t="s">
        <v>265</v>
      </c>
      <c r="E92" t="s">
        <v>12</v>
      </c>
      <c r="F92" t="s">
        <v>13</v>
      </c>
      <c r="G92">
        <v>1</v>
      </c>
      <c r="H92">
        <v>46</v>
      </c>
      <c r="I92" t="s">
        <v>223</v>
      </c>
    </row>
    <row r="93" spans="1:9" x14ac:dyDescent="0.2">
      <c r="A93" t="s">
        <v>80</v>
      </c>
      <c r="B93">
        <v>1.25</v>
      </c>
      <c r="C93" t="s">
        <v>81</v>
      </c>
      <c r="D93" t="s">
        <v>82</v>
      </c>
      <c r="E93" t="s">
        <v>12</v>
      </c>
      <c r="F93" t="s">
        <v>13</v>
      </c>
      <c r="G93">
        <v>1</v>
      </c>
      <c r="H93">
        <v>46</v>
      </c>
      <c r="I93" t="s">
        <v>83</v>
      </c>
    </row>
    <row r="94" spans="1:9" x14ac:dyDescent="0.2">
      <c r="A94" t="s">
        <v>260</v>
      </c>
      <c r="B94">
        <v>1.4</v>
      </c>
      <c r="C94" t="s">
        <v>261</v>
      </c>
      <c r="D94" t="s">
        <v>262</v>
      </c>
      <c r="E94" t="s">
        <v>12</v>
      </c>
      <c r="F94" t="s">
        <v>13</v>
      </c>
      <c r="G94">
        <v>1</v>
      </c>
      <c r="H94">
        <v>47</v>
      </c>
      <c r="I94" t="s">
        <v>223</v>
      </c>
    </row>
    <row r="95" spans="1:9" x14ac:dyDescent="0.2">
      <c r="A95" t="s">
        <v>383</v>
      </c>
      <c r="B95">
        <v>1.3</v>
      </c>
      <c r="C95" t="s">
        <v>384</v>
      </c>
      <c r="D95" t="s">
        <v>385</v>
      </c>
      <c r="E95" t="s">
        <v>12</v>
      </c>
      <c r="F95" t="s">
        <v>13</v>
      </c>
      <c r="G95">
        <v>1</v>
      </c>
      <c r="H95">
        <v>47</v>
      </c>
      <c r="I95" t="s">
        <v>83</v>
      </c>
    </row>
    <row r="96" spans="1:9" x14ac:dyDescent="0.2">
      <c r="A96" t="s">
        <v>257</v>
      </c>
      <c r="B96">
        <v>1</v>
      </c>
      <c r="C96" t="s">
        <v>258</v>
      </c>
      <c r="D96" t="s">
        <v>259</v>
      </c>
      <c r="E96" t="s">
        <v>12</v>
      </c>
      <c r="F96" t="s">
        <v>13</v>
      </c>
      <c r="G96">
        <v>2</v>
      </c>
      <c r="H96">
        <v>48</v>
      </c>
      <c r="I96" t="s">
        <v>223</v>
      </c>
    </row>
    <row r="97" spans="1:10" x14ac:dyDescent="0.2">
      <c r="A97" t="s">
        <v>371</v>
      </c>
      <c r="B97">
        <v>1.3</v>
      </c>
      <c r="C97" t="s">
        <v>372</v>
      </c>
      <c r="D97" t="s">
        <v>373</v>
      </c>
      <c r="E97" t="s">
        <v>12</v>
      </c>
      <c r="F97" t="s">
        <v>13</v>
      </c>
      <c r="G97">
        <v>1</v>
      </c>
      <c r="H97">
        <v>48</v>
      </c>
      <c r="I97" t="s">
        <v>83</v>
      </c>
    </row>
    <row r="98" spans="1:10" x14ac:dyDescent="0.2">
      <c r="A98" t="s">
        <v>10</v>
      </c>
      <c r="B98">
        <v>1.25</v>
      </c>
      <c r="C98" t="s">
        <v>11</v>
      </c>
      <c r="E98" t="s">
        <v>12</v>
      </c>
      <c r="F98" t="s">
        <v>13</v>
      </c>
      <c r="G98">
        <v>1</v>
      </c>
      <c r="I98" t="s">
        <v>14</v>
      </c>
      <c r="J98" t="s">
        <v>15</v>
      </c>
    </row>
    <row r="99" spans="1:10" x14ac:dyDescent="0.2">
      <c r="A99" t="s">
        <v>16</v>
      </c>
      <c r="B99">
        <v>1.25</v>
      </c>
      <c r="C99" t="s">
        <v>17</v>
      </c>
      <c r="E99" t="s">
        <v>12</v>
      </c>
      <c r="F99" t="s">
        <v>13</v>
      </c>
      <c r="G99">
        <v>1</v>
      </c>
      <c r="I99" t="s">
        <v>14</v>
      </c>
      <c r="J99" t="s">
        <v>15</v>
      </c>
    </row>
    <row r="100" spans="1:10" x14ac:dyDescent="0.2">
      <c r="A100" t="s">
        <v>18</v>
      </c>
      <c r="B100">
        <v>1.25</v>
      </c>
      <c r="C100" t="s">
        <v>19</v>
      </c>
      <c r="E100" t="s">
        <v>12</v>
      </c>
      <c r="F100" t="s">
        <v>13</v>
      </c>
      <c r="G100">
        <v>1</v>
      </c>
      <c r="I100" t="s">
        <v>14</v>
      </c>
      <c r="J100" t="s">
        <v>15</v>
      </c>
    </row>
    <row r="101" spans="1:10" x14ac:dyDescent="0.2">
      <c r="A101" t="s">
        <v>23</v>
      </c>
      <c r="B101">
        <v>1.2</v>
      </c>
      <c r="C101" t="s">
        <v>24</v>
      </c>
      <c r="E101" t="s">
        <v>12</v>
      </c>
      <c r="F101" t="s">
        <v>13</v>
      </c>
      <c r="G101">
        <v>1</v>
      </c>
      <c r="I101" t="s">
        <v>14</v>
      </c>
      <c r="J101" t="s">
        <v>15</v>
      </c>
    </row>
    <row r="102" spans="1:10" x14ac:dyDescent="0.2">
      <c r="A102" t="s">
        <v>25</v>
      </c>
      <c r="B102">
        <v>1.25</v>
      </c>
      <c r="C102" t="s">
        <v>26</v>
      </c>
      <c r="E102" t="s">
        <v>12</v>
      </c>
      <c r="F102" t="s">
        <v>13</v>
      </c>
      <c r="G102">
        <v>1</v>
      </c>
      <c r="I102" t="s">
        <v>14</v>
      </c>
      <c r="J102" t="s">
        <v>15</v>
      </c>
    </row>
    <row r="103" spans="1:10" x14ac:dyDescent="0.2">
      <c r="A103" t="s">
        <v>27</v>
      </c>
      <c r="B103">
        <v>1.25</v>
      </c>
      <c r="C103" t="s">
        <v>28</v>
      </c>
      <c r="E103" t="s">
        <v>12</v>
      </c>
      <c r="F103" t="s">
        <v>13</v>
      </c>
      <c r="G103">
        <v>1</v>
      </c>
      <c r="I103" t="s">
        <v>14</v>
      </c>
      <c r="J103" t="s">
        <v>15</v>
      </c>
    </row>
    <row r="104" spans="1:10" x14ac:dyDescent="0.2">
      <c r="A104" t="s">
        <v>29</v>
      </c>
      <c r="B104">
        <v>1.25</v>
      </c>
      <c r="C104" t="s">
        <v>30</v>
      </c>
      <c r="E104" t="s">
        <v>12</v>
      </c>
      <c r="F104" t="s">
        <v>13</v>
      </c>
      <c r="G104">
        <v>1</v>
      </c>
      <c r="I104" t="s">
        <v>14</v>
      </c>
      <c r="J104" t="s">
        <v>15</v>
      </c>
    </row>
    <row r="105" spans="1:10" x14ac:dyDescent="0.2">
      <c r="A105" t="s">
        <v>31</v>
      </c>
      <c r="B105">
        <v>1.25</v>
      </c>
      <c r="C105" t="s">
        <v>32</v>
      </c>
      <c r="E105" t="s">
        <v>12</v>
      </c>
      <c r="F105" t="s">
        <v>13</v>
      </c>
      <c r="G105">
        <v>1</v>
      </c>
      <c r="I105" t="s">
        <v>14</v>
      </c>
      <c r="J105" t="s">
        <v>15</v>
      </c>
    </row>
    <row r="106" spans="1:10" x14ac:dyDescent="0.2">
      <c r="A106" t="s">
        <v>33</v>
      </c>
      <c r="B106">
        <v>1.25</v>
      </c>
      <c r="C106" t="s">
        <v>34</v>
      </c>
      <c r="E106" t="s">
        <v>12</v>
      </c>
      <c r="F106" t="s">
        <v>13</v>
      </c>
      <c r="G106">
        <v>1</v>
      </c>
      <c r="I106" t="s">
        <v>14</v>
      </c>
      <c r="J106" t="s">
        <v>15</v>
      </c>
    </row>
    <row r="107" spans="1:10" x14ac:dyDescent="0.2">
      <c r="A107" t="s">
        <v>35</v>
      </c>
      <c r="B107">
        <v>1</v>
      </c>
      <c r="C107" t="s">
        <v>36</v>
      </c>
      <c r="E107" t="s">
        <v>12</v>
      </c>
      <c r="F107" t="s">
        <v>13</v>
      </c>
      <c r="G107">
        <v>1</v>
      </c>
      <c r="I107" t="s">
        <v>14</v>
      </c>
      <c r="J107" t="s">
        <v>15</v>
      </c>
    </row>
    <row r="108" spans="1:10" x14ac:dyDescent="0.2">
      <c r="A108" t="s">
        <v>39</v>
      </c>
      <c r="B108">
        <v>1.25</v>
      </c>
      <c r="C108" t="s">
        <v>40</v>
      </c>
      <c r="E108" t="s">
        <v>12</v>
      </c>
      <c r="F108" t="s">
        <v>13</v>
      </c>
      <c r="G108">
        <v>1</v>
      </c>
      <c r="I108" t="s">
        <v>14</v>
      </c>
      <c r="J108" t="s">
        <v>15</v>
      </c>
    </row>
    <row r="109" spans="1:10" x14ac:dyDescent="0.2">
      <c r="A109" t="s">
        <v>41</v>
      </c>
      <c r="B109">
        <v>1.25</v>
      </c>
      <c r="C109" t="s">
        <v>42</v>
      </c>
      <c r="E109" t="s">
        <v>12</v>
      </c>
      <c r="F109" t="s">
        <v>13</v>
      </c>
      <c r="G109">
        <v>1</v>
      </c>
      <c r="I109" t="s">
        <v>14</v>
      </c>
      <c r="J109" t="s">
        <v>15</v>
      </c>
    </row>
    <row r="110" spans="1:10" x14ac:dyDescent="0.2">
      <c r="A110" t="s">
        <v>47</v>
      </c>
      <c r="B110">
        <v>1.2</v>
      </c>
      <c r="C110" t="s">
        <v>48</v>
      </c>
      <c r="E110" t="s">
        <v>12</v>
      </c>
      <c r="F110" t="s">
        <v>13</v>
      </c>
      <c r="G110">
        <v>1</v>
      </c>
      <c r="I110" t="s">
        <v>14</v>
      </c>
      <c r="J110" t="s">
        <v>15</v>
      </c>
    </row>
    <row r="111" spans="1:10" x14ac:dyDescent="0.2">
      <c r="A111" t="s">
        <v>49</v>
      </c>
      <c r="B111">
        <v>1.25</v>
      </c>
      <c r="C111" t="s">
        <v>50</v>
      </c>
      <c r="E111" t="s">
        <v>12</v>
      </c>
      <c r="F111" t="s">
        <v>13</v>
      </c>
      <c r="G111">
        <v>1</v>
      </c>
      <c r="I111" t="s">
        <v>14</v>
      </c>
      <c r="J111" t="s">
        <v>15</v>
      </c>
    </row>
    <row r="112" spans="1:10" x14ac:dyDescent="0.2">
      <c r="A112" t="s">
        <v>51</v>
      </c>
      <c r="B112">
        <v>1.25</v>
      </c>
      <c r="C112" t="s">
        <v>52</v>
      </c>
      <c r="E112" t="s">
        <v>12</v>
      </c>
      <c r="F112" t="s">
        <v>13</v>
      </c>
      <c r="G112">
        <v>1</v>
      </c>
      <c r="I112" t="s">
        <v>14</v>
      </c>
      <c r="J112" t="s">
        <v>15</v>
      </c>
    </row>
    <row r="113" spans="1:10" x14ac:dyDescent="0.2">
      <c r="A113" t="s">
        <v>53</v>
      </c>
      <c r="B113">
        <v>1.25</v>
      </c>
      <c r="C113" t="s">
        <v>54</v>
      </c>
      <c r="E113" t="s">
        <v>12</v>
      </c>
      <c r="F113" t="s">
        <v>13</v>
      </c>
      <c r="G113">
        <v>1</v>
      </c>
      <c r="I113" t="s">
        <v>14</v>
      </c>
      <c r="J113" t="s">
        <v>15</v>
      </c>
    </row>
    <row r="114" spans="1:10" x14ac:dyDescent="0.2">
      <c r="A114" t="s">
        <v>55</v>
      </c>
      <c r="B114">
        <v>1.25</v>
      </c>
      <c r="C114" t="s">
        <v>56</v>
      </c>
      <c r="E114" t="s">
        <v>12</v>
      </c>
      <c r="F114" t="s">
        <v>13</v>
      </c>
      <c r="G114">
        <v>1</v>
      </c>
      <c r="I114" t="s">
        <v>14</v>
      </c>
      <c r="J114" t="s">
        <v>15</v>
      </c>
    </row>
    <row r="115" spans="1:10" x14ac:dyDescent="0.2">
      <c r="A115" t="s">
        <v>57</v>
      </c>
      <c r="B115">
        <v>1.1000000000000001</v>
      </c>
      <c r="C115" t="s">
        <v>58</v>
      </c>
      <c r="E115" t="s">
        <v>12</v>
      </c>
      <c r="F115" t="s">
        <v>13</v>
      </c>
      <c r="G115">
        <v>1</v>
      </c>
      <c r="I115" t="s">
        <v>14</v>
      </c>
      <c r="J115" t="s">
        <v>15</v>
      </c>
    </row>
    <row r="116" spans="1:10" x14ac:dyDescent="0.2">
      <c r="A116" t="s">
        <v>59</v>
      </c>
      <c r="B116">
        <v>1.25</v>
      </c>
      <c r="C116" t="s">
        <v>60</v>
      </c>
      <c r="E116" t="s">
        <v>12</v>
      </c>
      <c r="F116" t="s">
        <v>13</v>
      </c>
      <c r="G116">
        <v>1</v>
      </c>
      <c r="I116" t="s">
        <v>14</v>
      </c>
      <c r="J116" t="s">
        <v>15</v>
      </c>
    </row>
    <row r="117" spans="1:10" x14ac:dyDescent="0.2">
      <c r="A117" t="s">
        <v>63</v>
      </c>
      <c r="B117">
        <v>1.2</v>
      </c>
      <c r="C117" t="s">
        <v>64</v>
      </c>
      <c r="E117" t="s">
        <v>12</v>
      </c>
      <c r="F117" t="s">
        <v>13</v>
      </c>
      <c r="G117">
        <v>1</v>
      </c>
      <c r="I117" t="s">
        <v>14</v>
      </c>
      <c r="J117" t="s">
        <v>15</v>
      </c>
    </row>
    <row r="118" spans="1:10" x14ac:dyDescent="0.2">
      <c r="A118" t="s">
        <v>65</v>
      </c>
      <c r="B118">
        <v>1.2</v>
      </c>
      <c r="C118" t="s">
        <v>66</v>
      </c>
      <c r="E118" t="s">
        <v>12</v>
      </c>
      <c r="F118" t="s">
        <v>13</v>
      </c>
      <c r="G118">
        <v>1</v>
      </c>
      <c r="I118" t="s">
        <v>14</v>
      </c>
      <c r="J118" t="s">
        <v>15</v>
      </c>
    </row>
    <row r="119" spans="1:10" x14ac:dyDescent="0.2">
      <c r="A119" t="s">
        <v>67</v>
      </c>
      <c r="B119">
        <v>1.25</v>
      </c>
      <c r="C119" t="s">
        <v>68</v>
      </c>
      <c r="E119" t="s">
        <v>12</v>
      </c>
      <c r="F119" t="s">
        <v>13</v>
      </c>
      <c r="G119">
        <v>1</v>
      </c>
      <c r="I119" t="s">
        <v>14</v>
      </c>
      <c r="J119" t="s">
        <v>15</v>
      </c>
    </row>
    <row r="120" spans="1:10" x14ac:dyDescent="0.2">
      <c r="A120" t="s">
        <v>69</v>
      </c>
      <c r="B120">
        <v>1.25</v>
      </c>
      <c r="C120" t="s">
        <v>70</v>
      </c>
      <c r="E120" t="s">
        <v>12</v>
      </c>
      <c r="F120" t="s">
        <v>13</v>
      </c>
      <c r="G120">
        <v>1</v>
      </c>
      <c r="I120" t="s">
        <v>14</v>
      </c>
      <c r="J120" t="s">
        <v>15</v>
      </c>
    </row>
    <row r="121" spans="1:10" x14ac:dyDescent="0.2">
      <c r="A121" t="s">
        <v>71</v>
      </c>
      <c r="B121">
        <v>1.25</v>
      </c>
      <c r="C121" t="s">
        <v>72</v>
      </c>
      <c r="E121" t="s">
        <v>12</v>
      </c>
      <c r="F121" t="s">
        <v>13</v>
      </c>
      <c r="G121">
        <v>1</v>
      </c>
      <c r="I121" t="s">
        <v>14</v>
      </c>
      <c r="J121" t="s">
        <v>15</v>
      </c>
    </row>
    <row r="122" spans="1:10" x14ac:dyDescent="0.2">
      <c r="A122" t="s">
        <v>73</v>
      </c>
      <c r="B122">
        <v>1.25</v>
      </c>
      <c r="C122" t="s">
        <v>74</v>
      </c>
      <c r="E122" t="s">
        <v>12</v>
      </c>
      <c r="F122" t="s">
        <v>13</v>
      </c>
      <c r="G122">
        <v>1</v>
      </c>
      <c r="I122" t="s">
        <v>14</v>
      </c>
      <c r="J122" t="s">
        <v>15</v>
      </c>
    </row>
    <row r="123" spans="1:10" x14ac:dyDescent="0.2">
      <c r="A123" t="s">
        <v>169</v>
      </c>
      <c r="B123">
        <v>1</v>
      </c>
      <c r="C123" t="s">
        <v>170</v>
      </c>
      <c r="D123" t="s">
        <v>171</v>
      </c>
      <c r="E123" t="s">
        <v>12</v>
      </c>
      <c r="F123" t="s">
        <v>13</v>
      </c>
      <c r="G123">
        <v>2</v>
      </c>
      <c r="I123" t="s">
        <v>14</v>
      </c>
    </row>
    <row r="124" spans="1:10" x14ac:dyDescent="0.2">
      <c r="A124" t="s">
        <v>172</v>
      </c>
      <c r="B124">
        <v>1</v>
      </c>
      <c r="C124" t="s">
        <v>173</v>
      </c>
      <c r="D124" t="s">
        <v>174</v>
      </c>
      <c r="E124" t="s">
        <v>12</v>
      </c>
      <c r="F124" t="s">
        <v>13</v>
      </c>
      <c r="G124">
        <v>2</v>
      </c>
      <c r="I124" t="s">
        <v>14</v>
      </c>
    </row>
    <row r="125" spans="1:10" x14ac:dyDescent="0.2">
      <c r="A125" t="s">
        <v>175</v>
      </c>
      <c r="B125">
        <v>1</v>
      </c>
      <c r="C125" t="s">
        <v>176</v>
      </c>
      <c r="D125" t="s">
        <v>177</v>
      </c>
      <c r="E125" t="s">
        <v>12</v>
      </c>
      <c r="F125" t="s">
        <v>13</v>
      </c>
      <c r="G125">
        <v>2</v>
      </c>
      <c r="I125" t="s">
        <v>14</v>
      </c>
    </row>
    <row r="126" spans="1:10" x14ac:dyDescent="0.2">
      <c r="A126" t="s">
        <v>178</v>
      </c>
      <c r="B126">
        <v>1</v>
      </c>
      <c r="C126" t="s">
        <v>179</v>
      </c>
      <c r="D126" t="s">
        <v>180</v>
      </c>
      <c r="E126" t="s">
        <v>12</v>
      </c>
      <c r="F126" t="s">
        <v>13</v>
      </c>
      <c r="G126">
        <v>2</v>
      </c>
      <c r="I126" t="s">
        <v>14</v>
      </c>
    </row>
    <row r="127" spans="1:10" x14ac:dyDescent="0.2">
      <c r="A127" t="s">
        <v>181</v>
      </c>
      <c r="B127">
        <v>1</v>
      </c>
      <c r="C127" t="s">
        <v>182</v>
      </c>
      <c r="D127" t="s">
        <v>183</v>
      </c>
      <c r="E127" t="s">
        <v>12</v>
      </c>
      <c r="F127" t="s">
        <v>13</v>
      </c>
      <c r="G127">
        <v>2</v>
      </c>
      <c r="I127" t="s">
        <v>14</v>
      </c>
    </row>
    <row r="128" spans="1:10" x14ac:dyDescent="0.2">
      <c r="A128" t="s">
        <v>184</v>
      </c>
      <c r="B128">
        <v>1</v>
      </c>
      <c r="C128" t="s">
        <v>185</v>
      </c>
      <c r="D128" t="s">
        <v>186</v>
      </c>
      <c r="E128" t="s">
        <v>12</v>
      </c>
      <c r="F128" t="s">
        <v>13</v>
      </c>
      <c r="G128">
        <v>2</v>
      </c>
      <c r="I128" t="s">
        <v>14</v>
      </c>
    </row>
    <row r="129" spans="1:9" x14ac:dyDescent="0.2">
      <c r="A129" t="s">
        <v>187</v>
      </c>
      <c r="B129">
        <v>1</v>
      </c>
      <c r="C129" t="s">
        <v>188</v>
      </c>
      <c r="D129" t="s">
        <v>189</v>
      </c>
      <c r="E129" t="s">
        <v>12</v>
      </c>
      <c r="F129" t="s">
        <v>13</v>
      </c>
      <c r="G129">
        <v>2</v>
      </c>
      <c r="I129" t="s">
        <v>14</v>
      </c>
    </row>
    <row r="130" spans="1:9" x14ac:dyDescent="0.2">
      <c r="A130" t="s">
        <v>190</v>
      </c>
      <c r="B130">
        <v>1</v>
      </c>
      <c r="C130" t="s">
        <v>191</v>
      </c>
      <c r="D130" t="s">
        <v>192</v>
      </c>
      <c r="E130" t="s">
        <v>12</v>
      </c>
      <c r="F130" t="s">
        <v>13</v>
      </c>
      <c r="G130">
        <v>2</v>
      </c>
      <c r="I130" t="s">
        <v>14</v>
      </c>
    </row>
    <row r="131" spans="1:9" x14ac:dyDescent="0.2">
      <c r="A131" t="s">
        <v>193</v>
      </c>
      <c r="B131">
        <v>1</v>
      </c>
      <c r="C131" t="s">
        <v>194</v>
      </c>
      <c r="D131" t="s">
        <v>195</v>
      </c>
      <c r="E131" t="s">
        <v>12</v>
      </c>
      <c r="F131" t="s">
        <v>13</v>
      </c>
      <c r="G131">
        <v>2</v>
      </c>
      <c r="I131" t="s">
        <v>14</v>
      </c>
    </row>
    <row r="132" spans="1:9" x14ac:dyDescent="0.2">
      <c r="A132" t="s">
        <v>196</v>
      </c>
      <c r="B132">
        <v>1</v>
      </c>
      <c r="C132" t="s">
        <v>197</v>
      </c>
      <c r="D132" t="s">
        <v>198</v>
      </c>
      <c r="E132" t="s">
        <v>12</v>
      </c>
      <c r="F132" t="s">
        <v>13</v>
      </c>
      <c r="G132">
        <v>2</v>
      </c>
      <c r="I132" t="s">
        <v>14</v>
      </c>
    </row>
    <row r="133" spans="1:9" x14ac:dyDescent="0.2">
      <c r="A133" t="s">
        <v>199</v>
      </c>
      <c r="B133">
        <v>1</v>
      </c>
      <c r="C133" t="s">
        <v>200</v>
      </c>
      <c r="D133" t="s">
        <v>201</v>
      </c>
      <c r="E133" t="s">
        <v>12</v>
      </c>
      <c r="F133" t="s">
        <v>13</v>
      </c>
      <c r="G133">
        <v>2</v>
      </c>
      <c r="I133" t="s">
        <v>14</v>
      </c>
    </row>
    <row r="134" spans="1:9" x14ac:dyDescent="0.2">
      <c r="A134" t="s">
        <v>202</v>
      </c>
      <c r="B134">
        <v>1</v>
      </c>
      <c r="C134" t="s">
        <v>203</v>
      </c>
      <c r="D134" t="s">
        <v>204</v>
      </c>
      <c r="E134" t="s">
        <v>12</v>
      </c>
      <c r="F134" t="s">
        <v>13</v>
      </c>
      <c r="G134">
        <v>2</v>
      </c>
      <c r="I134" t="s">
        <v>14</v>
      </c>
    </row>
    <row r="135" spans="1:9" x14ac:dyDescent="0.2">
      <c r="A135" t="s">
        <v>205</v>
      </c>
      <c r="B135">
        <v>1</v>
      </c>
      <c r="C135" t="s">
        <v>206</v>
      </c>
      <c r="D135" t="s">
        <v>207</v>
      </c>
      <c r="E135" t="s">
        <v>12</v>
      </c>
      <c r="F135" t="s">
        <v>13</v>
      </c>
      <c r="G135">
        <v>2</v>
      </c>
      <c r="I135" t="s">
        <v>14</v>
      </c>
    </row>
    <row r="136" spans="1:9" x14ac:dyDescent="0.2">
      <c r="A136" t="s">
        <v>208</v>
      </c>
      <c r="B136">
        <v>1</v>
      </c>
      <c r="C136" t="s">
        <v>209</v>
      </c>
      <c r="D136" t="s">
        <v>210</v>
      </c>
      <c r="E136" t="s">
        <v>12</v>
      </c>
      <c r="F136" t="s">
        <v>13</v>
      </c>
      <c r="G136">
        <v>2</v>
      </c>
      <c r="I136" t="s">
        <v>14</v>
      </c>
    </row>
    <row r="137" spans="1:9" x14ac:dyDescent="0.2">
      <c r="A137" t="s">
        <v>211</v>
      </c>
      <c r="B137">
        <v>1.4</v>
      </c>
      <c r="C137" t="s">
        <v>212</v>
      </c>
      <c r="D137" t="s">
        <v>213</v>
      </c>
      <c r="E137" t="s">
        <v>12</v>
      </c>
      <c r="F137" t="s">
        <v>13</v>
      </c>
      <c r="G137">
        <v>1</v>
      </c>
      <c r="I137" t="s">
        <v>14</v>
      </c>
    </row>
  </sheetData>
  <sortState xmlns:xlrd2="http://schemas.microsoft.com/office/spreadsheetml/2017/richdata2" ref="A2:J137">
    <sortCondition ref="H2:H137"/>
    <sortCondition ref="I2:I137"/>
    <sortCondition ref="E2:E137"/>
  </sortState>
  <conditionalFormatting sqref="A1:A1048576">
    <cfRule type="duplicateValues" dxfId="25" priority="1"/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5509-322B-2C47-9603-0CA04D1CBDA0}">
  <dimension ref="A1:K137"/>
  <sheetViews>
    <sheetView topLeftCell="A66" zoomScale="106" zoomScaleNormal="100" workbookViewId="0">
      <selection activeCell="A91" sqref="A91"/>
    </sheetView>
  </sheetViews>
  <sheetFormatPr baseColWidth="10" defaultRowHeight="15" x14ac:dyDescent="0.2"/>
  <cols>
    <col min="2" max="2" width="27.5" bestFit="1" customWidth="1"/>
    <col min="3" max="3" width="55.33203125" bestFit="1" customWidth="1"/>
    <col min="4" max="4" width="18.6640625" bestFit="1" customWidth="1"/>
    <col min="5" max="5" width="11.5" bestFit="1" customWidth="1"/>
    <col min="6" max="6" width="11.33203125" bestFit="1" customWidth="1"/>
    <col min="9" max="9" width="17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395</v>
      </c>
    </row>
    <row r="2" spans="1:11" x14ac:dyDescent="0.2">
      <c r="A2" t="s">
        <v>254</v>
      </c>
      <c r="B2">
        <v>1.25</v>
      </c>
      <c r="C2" t="s">
        <v>255</v>
      </c>
      <c r="D2" t="s">
        <v>256</v>
      </c>
      <c r="E2" t="s">
        <v>12</v>
      </c>
      <c r="F2" t="s">
        <v>13</v>
      </c>
      <c r="G2">
        <v>1</v>
      </c>
      <c r="H2">
        <v>1</v>
      </c>
      <c r="I2" t="s">
        <v>223</v>
      </c>
      <c r="K2">
        <v>1</v>
      </c>
    </row>
    <row r="3" spans="1:11" x14ac:dyDescent="0.2">
      <c r="A3" t="s">
        <v>362</v>
      </c>
      <c r="B3">
        <v>1.2</v>
      </c>
      <c r="C3" t="s">
        <v>363</v>
      </c>
      <c r="D3" t="s">
        <v>364</v>
      </c>
      <c r="E3" t="s">
        <v>12</v>
      </c>
      <c r="F3" t="s">
        <v>13</v>
      </c>
      <c r="G3">
        <v>1</v>
      </c>
      <c r="H3">
        <v>12</v>
      </c>
      <c r="I3" t="s">
        <v>223</v>
      </c>
      <c r="K3">
        <v>1</v>
      </c>
    </row>
    <row r="4" spans="1:11" x14ac:dyDescent="0.2">
      <c r="A4" t="s">
        <v>18</v>
      </c>
      <c r="B4">
        <v>1.25</v>
      </c>
      <c r="C4" t="s">
        <v>19</v>
      </c>
      <c r="E4" t="s">
        <v>12</v>
      </c>
      <c r="F4" t="s">
        <v>13</v>
      </c>
      <c r="G4">
        <v>1</v>
      </c>
      <c r="I4" t="s">
        <v>14</v>
      </c>
      <c r="J4" t="s">
        <v>15</v>
      </c>
      <c r="K4">
        <v>1</v>
      </c>
    </row>
    <row r="5" spans="1:11" x14ac:dyDescent="0.2">
      <c r="A5" t="s">
        <v>272</v>
      </c>
      <c r="B5">
        <v>1.4</v>
      </c>
      <c r="C5" t="s">
        <v>273</v>
      </c>
      <c r="D5" t="s">
        <v>274</v>
      </c>
      <c r="E5" t="s">
        <v>12</v>
      </c>
      <c r="F5" t="s">
        <v>13</v>
      </c>
      <c r="G5">
        <v>1</v>
      </c>
      <c r="H5">
        <v>13</v>
      </c>
      <c r="I5" t="s">
        <v>223</v>
      </c>
      <c r="K5">
        <v>1</v>
      </c>
    </row>
    <row r="6" spans="1:11" x14ac:dyDescent="0.2">
      <c r="A6" t="s">
        <v>296</v>
      </c>
      <c r="B6">
        <v>1.4</v>
      </c>
      <c r="C6" t="s">
        <v>297</v>
      </c>
      <c r="D6" t="s">
        <v>298</v>
      </c>
      <c r="E6" t="s">
        <v>87</v>
      </c>
      <c r="F6" t="s">
        <v>13</v>
      </c>
      <c r="G6">
        <v>1</v>
      </c>
      <c r="H6">
        <v>34</v>
      </c>
      <c r="I6" t="s">
        <v>223</v>
      </c>
      <c r="K6">
        <v>1</v>
      </c>
    </row>
    <row r="7" spans="1:11" x14ac:dyDescent="0.2">
      <c r="A7" t="s">
        <v>211</v>
      </c>
      <c r="B7">
        <v>1.4</v>
      </c>
      <c r="C7" t="s">
        <v>212</v>
      </c>
      <c r="D7" t="s">
        <v>213</v>
      </c>
      <c r="E7" t="s">
        <v>12</v>
      </c>
      <c r="F7" t="s">
        <v>13</v>
      </c>
      <c r="G7">
        <v>1</v>
      </c>
      <c r="I7" t="s">
        <v>14</v>
      </c>
      <c r="K7">
        <v>1</v>
      </c>
    </row>
    <row r="8" spans="1:11" x14ac:dyDescent="0.2">
      <c r="A8" t="s">
        <v>356</v>
      </c>
      <c r="B8">
        <v>1.3</v>
      </c>
      <c r="C8" t="s">
        <v>357</v>
      </c>
      <c r="D8" t="s">
        <v>358</v>
      </c>
      <c r="E8" t="s">
        <v>87</v>
      </c>
      <c r="F8" t="s">
        <v>13</v>
      </c>
      <c r="G8">
        <v>1</v>
      </c>
      <c r="H8">
        <v>43</v>
      </c>
      <c r="I8" t="s">
        <v>223</v>
      </c>
      <c r="K8">
        <v>1</v>
      </c>
    </row>
    <row r="9" spans="1:11" x14ac:dyDescent="0.2">
      <c r="A9" t="s">
        <v>124</v>
      </c>
      <c r="B9">
        <v>1.4</v>
      </c>
      <c r="C9" t="s">
        <v>125</v>
      </c>
      <c r="D9" t="s">
        <v>126</v>
      </c>
      <c r="E9" t="s">
        <v>87</v>
      </c>
      <c r="F9" t="s">
        <v>13</v>
      </c>
      <c r="G9">
        <v>1</v>
      </c>
      <c r="H9">
        <v>42</v>
      </c>
      <c r="I9" t="s">
        <v>83</v>
      </c>
      <c r="K9">
        <v>1</v>
      </c>
    </row>
    <row r="10" spans="1:11" x14ac:dyDescent="0.2">
      <c r="A10" t="s">
        <v>365</v>
      </c>
      <c r="B10">
        <v>1.3</v>
      </c>
      <c r="C10" t="s">
        <v>366</v>
      </c>
      <c r="D10" t="s">
        <v>367</v>
      </c>
      <c r="E10" t="s">
        <v>12</v>
      </c>
      <c r="F10" t="s">
        <v>13</v>
      </c>
      <c r="G10">
        <v>1</v>
      </c>
      <c r="H10">
        <v>5</v>
      </c>
      <c r="I10" t="s">
        <v>83</v>
      </c>
      <c r="K10">
        <v>1</v>
      </c>
    </row>
    <row r="11" spans="1:11" x14ac:dyDescent="0.2">
      <c r="A11" t="s">
        <v>154</v>
      </c>
      <c r="B11">
        <v>1.1499999999999999</v>
      </c>
      <c r="C11" t="s">
        <v>155</v>
      </c>
      <c r="D11" t="s">
        <v>156</v>
      </c>
      <c r="E11" t="s">
        <v>87</v>
      </c>
      <c r="F11" t="s">
        <v>13</v>
      </c>
      <c r="G11">
        <v>1</v>
      </c>
      <c r="H11">
        <v>35</v>
      </c>
      <c r="I11" t="s">
        <v>83</v>
      </c>
      <c r="K11">
        <v>1</v>
      </c>
    </row>
    <row r="12" spans="1:11" x14ac:dyDescent="0.2">
      <c r="A12" t="s">
        <v>230</v>
      </c>
      <c r="B12">
        <v>1.25</v>
      </c>
      <c r="C12" t="s">
        <v>231</v>
      </c>
      <c r="D12" t="s">
        <v>232</v>
      </c>
      <c r="E12" t="s">
        <v>12</v>
      </c>
      <c r="F12" t="s">
        <v>13</v>
      </c>
      <c r="G12">
        <v>1</v>
      </c>
      <c r="H12">
        <v>28</v>
      </c>
      <c r="I12" t="s">
        <v>223</v>
      </c>
      <c r="K12">
        <v>2</v>
      </c>
    </row>
    <row r="13" spans="1:11" x14ac:dyDescent="0.2">
      <c r="A13" t="s">
        <v>103</v>
      </c>
      <c r="B13">
        <v>1.35</v>
      </c>
      <c r="C13" t="s">
        <v>104</v>
      </c>
      <c r="D13" t="s">
        <v>105</v>
      </c>
      <c r="E13" t="s">
        <v>87</v>
      </c>
      <c r="F13" t="s">
        <v>13</v>
      </c>
      <c r="G13">
        <v>1</v>
      </c>
      <c r="H13">
        <v>19</v>
      </c>
      <c r="I13" t="s">
        <v>83</v>
      </c>
      <c r="K13">
        <v>2</v>
      </c>
    </row>
    <row r="14" spans="1:11" x14ac:dyDescent="0.2">
      <c r="A14" t="s">
        <v>374</v>
      </c>
      <c r="B14">
        <v>1.3</v>
      </c>
      <c r="C14" t="s">
        <v>375</v>
      </c>
      <c r="D14" t="s">
        <v>376</v>
      </c>
      <c r="E14" t="s">
        <v>12</v>
      </c>
      <c r="F14" t="s">
        <v>13</v>
      </c>
      <c r="G14">
        <v>1</v>
      </c>
      <c r="H14">
        <v>8</v>
      </c>
      <c r="I14" t="s">
        <v>83</v>
      </c>
      <c r="K14">
        <v>2</v>
      </c>
    </row>
    <row r="15" spans="1:11" x14ac:dyDescent="0.2">
      <c r="A15" t="s">
        <v>386</v>
      </c>
      <c r="B15">
        <v>1</v>
      </c>
      <c r="C15" t="s">
        <v>387</v>
      </c>
      <c r="D15" t="s">
        <v>388</v>
      </c>
      <c r="E15" t="s">
        <v>12</v>
      </c>
      <c r="F15" t="s">
        <v>13</v>
      </c>
      <c r="G15">
        <v>1</v>
      </c>
      <c r="H15">
        <v>7</v>
      </c>
      <c r="I15" t="s">
        <v>83</v>
      </c>
      <c r="K15">
        <v>2</v>
      </c>
    </row>
    <row r="16" spans="1:11" x14ac:dyDescent="0.2">
      <c r="A16" t="s">
        <v>329</v>
      </c>
      <c r="B16">
        <v>1</v>
      </c>
      <c r="C16" t="s">
        <v>330</v>
      </c>
      <c r="D16" t="s">
        <v>331</v>
      </c>
      <c r="E16" t="s">
        <v>87</v>
      </c>
      <c r="F16" t="s">
        <v>13</v>
      </c>
      <c r="G16">
        <v>2</v>
      </c>
      <c r="H16">
        <v>42</v>
      </c>
      <c r="I16" t="s">
        <v>223</v>
      </c>
      <c r="K16">
        <v>1</v>
      </c>
    </row>
    <row r="17" spans="1:11" x14ac:dyDescent="0.2">
      <c r="A17" t="s">
        <v>269</v>
      </c>
      <c r="B17">
        <v>1.4</v>
      </c>
      <c r="C17" t="s">
        <v>270</v>
      </c>
      <c r="D17" t="s">
        <v>271</v>
      </c>
      <c r="E17" t="s">
        <v>12</v>
      </c>
      <c r="F17" t="s">
        <v>13</v>
      </c>
      <c r="G17">
        <v>1</v>
      </c>
      <c r="H17">
        <v>5</v>
      </c>
      <c r="I17" t="s">
        <v>223</v>
      </c>
      <c r="K17">
        <v>1</v>
      </c>
    </row>
    <row r="18" spans="1:11" x14ac:dyDescent="0.2">
      <c r="A18" t="s">
        <v>302</v>
      </c>
      <c r="B18">
        <v>1</v>
      </c>
      <c r="C18" t="s">
        <v>303</v>
      </c>
      <c r="D18" t="s">
        <v>304</v>
      </c>
      <c r="E18" t="s">
        <v>87</v>
      </c>
      <c r="F18" t="s">
        <v>13</v>
      </c>
      <c r="G18">
        <v>2</v>
      </c>
      <c r="H18">
        <v>19</v>
      </c>
      <c r="I18" t="s">
        <v>223</v>
      </c>
      <c r="K18">
        <v>2</v>
      </c>
    </row>
    <row r="19" spans="1:11" x14ac:dyDescent="0.2">
      <c r="A19" t="s">
        <v>169</v>
      </c>
      <c r="B19">
        <v>1</v>
      </c>
      <c r="C19" t="s">
        <v>170</v>
      </c>
      <c r="D19" t="s">
        <v>171</v>
      </c>
      <c r="E19" t="s">
        <v>12</v>
      </c>
      <c r="F19" t="s">
        <v>13</v>
      </c>
      <c r="G19">
        <v>2</v>
      </c>
      <c r="I19" t="s">
        <v>14</v>
      </c>
      <c r="K19">
        <v>1</v>
      </c>
    </row>
    <row r="20" spans="1:11" x14ac:dyDescent="0.2">
      <c r="A20" t="s">
        <v>49</v>
      </c>
      <c r="B20">
        <v>1.25</v>
      </c>
      <c r="C20" t="s">
        <v>50</v>
      </c>
      <c r="E20" t="s">
        <v>12</v>
      </c>
      <c r="F20" t="s">
        <v>13</v>
      </c>
      <c r="G20">
        <v>1</v>
      </c>
      <c r="I20" t="s">
        <v>14</v>
      </c>
      <c r="J20" t="s">
        <v>15</v>
      </c>
      <c r="K20">
        <v>1</v>
      </c>
    </row>
    <row r="21" spans="1:11" x14ac:dyDescent="0.2">
      <c r="A21" t="s">
        <v>35</v>
      </c>
      <c r="B21">
        <v>1</v>
      </c>
      <c r="C21" t="s">
        <v>36</v>
      </c>
      <c r="E21" t="s">
        <v>12</v>
      </c>
      <c r="F21" t="s">
        <v>13</v>
      </c>
      <c r="G21">
        <v>1</v>
      </c>
      <c r="I21" t="s">
        <v>14</v>
      </c>
      <c r="J21" t="s">
        <v>15</v>
      </c>
      <c r="K21">
        <v>1</v>
      </c>
    </row>
    <row r="22" spans="1:11" x14ac:dyDescent="0.2">
      <c r="A22" t="s">
        <v>281</v>
      </c>
      <c r="B22">
        <v>1.4</v>
      </c>
      <c r="C22" t="s">
        <v>282</v>
      </c>
      <c r="D22" t="s">
        <v>283</v>
      </c>
      <c r="E22" t="s">
        <v>12</v>
      </c>
      <c r="F22" t="s">
        <v>13</v>
      </c>
      <c r="G22">
        <v>1</v>
      </c>
      <c r="H22">
        <v>14</v>
      </c>
      <c r="I22" t="s">
        <v>223</v>
      </c>
      <c r="K22">
        <v>2</v>
      </c>
    </row>
    <row r="23" spans="1:11" x14ac:dyDescent="0.2">
      <c r="A23" t="s">
        <v>202</v>
      </c>
      <c r="B23">
        <v>1</v>
      </c>
      <c r="C23" t="s">
        <v>203</v>
      </c>
      <c r="D23" t="s">
        <v>204</v>
      </c>
      <c r="E23" t="s">
        <v>12</v>
      </c>
      <c r="F23" t="s">
        <v>13</v>
      </c>
      <c r="G23">
        <v>2</v>
      </c>
      <c r="I23" t="s">
        <v>14</v>
      </c>
      <c r="K23">
        <v>1</v>
      </c>
    </row>
    <row r="24" spans="1:11" x14ac:dyDescent="0.2">
      <c r="A24" t="s">
        <v>139</v>
      </c>
      <c r="B24">
        <v>1.35</v>
      </c>
      <c r="C24" t="s">
        <v>140</v>
      </c>
      <c r="D24" t="s">
        <v>141</v>
      </c>
      <c r="E24" t="s">
        <v>12</v>
      </c>
      <c r="F24" t="s">
        <v>13</v>
      </c>
      <c r="G24">
        <v>1</v>
      </c>
      <c r="H24">
        <v>45</v>
      </c>
      <c r="I24" t="s">
        <v>83</v>
      </c>
      <c r="K24">
        <v>2</v>
      </c>
    </row>
    <row r="25" spans="1:11" x14ac:dyDescent="0.2">
      <c r="A25" t="s">
        <v>236</v>
      </c>
      <c r="B25">
        <v>1.1000000000000001</v>
      </c>
      <c r="C25" t="s">
        <v>237</v>
      </c>
      <c r="D25" t="s">
        <v>238</v>
      </c>
      <c r="E25" t="s">
        <v>12</v>
      </c>
      <c r="F25" t="s">
        <v>13</v>
      </c>
      <c r="G25">
        <v>1</v>
      </c>
      <c r="H25">
        <v>8</v>
      </c>
      <c r="I25" t="s">
        <v>223</v>
      </c>
      <c r="K25">
        <v>2</v>
      </c>
    </row>
    <row r="26" spans="1:11" x14ac:dyDescent="0.2">
      <c r="A26" t="s">
        <v>41</v>
      </c>
      <c r="B26">
        <v>1.25</v>
      </c>
      <c r="C26" t="s">
        <v>42</v>
      </c>
      <c r="E26" t="s">
        <v>12</v>
      </c>
      <c r="F26" t="s">
        <v>13</v>
      </c>
      <c r="G26">
        <v>1</v>
      </c>
      <c r="I26" t="s">
        <v>14</v>
      </c>
      <c r="J26" t="s">
        <v>15</v>
      </c>
      <c r="K26">
        <v>1</v>
      </c>
    </row>
    <row r="27" spans="1:11" x14ac:dyDescent="0.2">
      <c r="A27" t="s">
        <v>233</v>
      </c>
      <c r="B27">
        <v>1.1000000000000001</v>
      </c>
      <c r="C27" t="s">
        <v>234</v>
      </c>
      <c r="D27" t="s">
        <v>235</v>
      </c>
      <c r="E27" t="s">
        <v>12</v>
      </c>
      <c r="F27" t="s">
        <v>13</v>
      </c>
      <c r="G27">
        <v>1</v>
      </c>
      <c r="H27">
        <v>2</v>
      </c>
      <c r="I27" t="s">
        <v>223</v>
      </c>
      <c r="K27">
        <v>6</v>
      </c>
    </row>
    <row r="28" spans="1:11" x14ac:dyDescent="0.2">
      <c r="A28" t="s">
        <v>248</v>
      </c>
      <c r="B28">
        <v>1</v>
      </c>
      <c r="C28" t="s">
        <v>249</v>
      </c>
      <c r="D28" t="s">
        <v>250</v>
      </c>
      <c r="E28" t="s">
        <v>12</v>
      </c>
      <c r="F28" t="s">
        <v>13</v>
      </c>
      <c r="G28">
        <v>2</v>
      </c>
      <c r="H28">
        <v>9</v>
      </c>
      <c r="I28" t="s">
        <v>223</v>
      </c>
      <c r="K28">
        <v>3</v>
      </c>
    </row>
    <row r="29" spans="1:11" x14ac:dyDescent="0.2">
      <c r="A29" t="s">
        <v>151</v>
      </c>
      <c r="B29">
        <v>1.35</v>
      </c>
      <c r="C29" t="s">
        <v>152</v>
      </c>
      <c r="D29" t="s">
        <v>153</v>
      </c>
      <c r="E29" t="s">
        <v>87</v>
      </c>
      <c r="F29" t="s">
        <v>13</v>
      </c>
      <c r="G29">
        <v>1</v>
      </c>
      <c r="H29">
        <v>24</v>
      </c>
      <c r="I29" t="s">
        <v>83</v>
      </c>
      <c r="K29">
        <v>2</v>
      </c>
    </row>
    <row r="30" spans="1:11" x14ac:dyDescent="0.2">
      <c r="A30" t="s">
        <v>121</v>
      </c>
      <c r="B30">
        <v>1.25</v>
      </c>
      <c r="C30" t="s">
        <v>122</v>
      </c>
      <c r="D30" t="s">
        <v>123</v>
      </c>
      <c r="E30" t="s">
        <v>87</v>
      </c>
      <c r="F30" t="s">
        <v>13</v>
      </c>
      <c r="G30">
        <v>1</v>
      </c>
      <c r="H30">
        <v>27</v>
      </c>
      <c r="I30" t="s">
        <v>83</v>
      </c>
      <c r="K30">
        <v>3</v>
      </c>
    </row>
    <row r="31" spans="1:11" x14ac:dyDescent="0.2">
      <c r="A31" t="s">
        <v>257</v>
      </c>
      <c r="B31">
        <v>1</v>
      </c>
      <c r="C31" t="s">
        <v>258</v>
      </c>
      <c r="D31" t="s">
        <v>259</v>
      </c>
      <c r="E31" t="s">
        <v>12</v>
      </c>
      <c r="F31" t="s">
        <v>13</v>
      </c>
      <c r="G31">
        <v>2</v>
      </c>
      <c r="H31">
        <v>48</v>
      </c>
      <c r="I31" t="s">
        <v>223</v>
      </c>
      <c r="K31">
        <v>3</v>
      </c>
    </row>
    <row r="32" spans="1:11" x14ac:dyDescent="0.2">
      <c r="A32" t="s">
        <v>145</v>
      </c>
      <c r="B32">
        <v>1</v>
      </c>
      <c r="C32" t="s">
        <v>146</v>
      </c>
      <c r="D32" t="s">
        <v>147</v>
      </c>
      <c r="E32" t="s">
        <v>87</v>
      </c>
      <c r="F32" t="s">
        <v>13</v>
      </c>
      <c r="G32">
        <v>1</v>
      </c>
      <c r="H32">
        <v>41</v>
      </c>
      <c r="I32" t="s">
        <v>83</v>
      </c>
      <c r="K32">
        <v>3</v>
      </c>
    </row>
    <row r="33" spans="1:11" x14ac:dyDescent="0.2">
      <c r="A33" t="s">
        <v>39</v>
      </c>
      <c r="B33">
        <v>1.25</v>
      </c>
      <c r="C33" t="s">
        <v>40</v>
      </c>
      <c r="E33" t="s">
        <v>12</v>
      </c>
      <c r="F33" t="s">
        <v>13</v>
      </c>
      <c r="G33">
        <v>1</v>
      </c>
      <c r="I33" t="s">
        <v>14</v>
      </c>
      <c r="J33" t="s">
        <v>15</v>
      </c>
      <c r="K33">
        <v>2</v>
      </c>
    </row>
    <row r="34" spans="1:11" x14ac:dyDescent="0.2">
      <c r="A34" t="s">
        <v>65</v>
      </c>
      <c r="B34">
        <v>1.2</v>
      </c>
      <c r="C34" t="s">
        <v>66</v>
      </c>
      <c r="E34" t="s">
        <v>12</v>
      </c>
      <c r="F34" t="s">
        <v>13</v>
      </c>
      <c r="G34">
        <v>1</v>
      </c>
      <c r="I34" t="s">
        <v>14</v>
      </c>
      <c r="J34" t="s">
        <v>15</v>
      </c>
      <c r="K34">
        <v>2</v>
      </c>
    </row>
    <row r="35" spans="1:11" x14ac:dyDescent="0.2">
      <c r="A35" t="s">
        <v>323</v>
      </c>
      <c r="B35">
        <v>1.25</v>
      </c>
      <c r="C35" t="s">
        <v>324</v>
      </c>
      <c r="D35" t="s">
        <v>325</v>
      </c>
      <c r="E35" t="s">
        <v>87</v>
      </c>
      <c r="F35" t="s">
        <v>13</v>
      </c>
      <c r="G35">
        <v>1</v>
      </c>
      <c r="H35">
        <v>32</v>
      </c>
      <c r="I35" t="s">
        <v>223</v>
      </c>
      <c r="K35">
        <v>3</v>
      </c>
    </row>
    <row r="36" spans="1:11" x14ac:dyDescent="0.2">
      <c r="A36" t="s">
        <v>377</v>
      </c>
      <c r="B36">
        <v>1.4</v>
      </c>
      <c r="C36" t="s">
        <v>378</v>
      </c>
      <c r="D36" t="s">
        <v>379</v>
      </c>
      <c r="E36" t="s">
        <v>12</v>
      </c>
      <c r="F36" t="s">
        <v>13</v>
      </c>
      <c r="G36">
        <v>1</v>
      </c>
      <c r="H36">
        <v>13</v>
      </c>
      <c r="I36" t="s">
        <v>83</v>
      </c>
      <c r="K36">
        <v>1</v>
      </c>
    </row>
    <row r="37" spans="1:11" x14ac:dyDescent="0.2">
      <c r="A37" t="s">
        <v>67</v>
      </c>
      <c r="B37">
        <v>1.25</v>
      </c>
      <c r="C37" t="s">
        <v>68</v>
      </c>
      <c r="E37" t="s">
        <v>12</v>
      </c>
      <c r="F37" t="s">
        <v>13</v>
      </c>
      <c r="G37">
        <v>1</v>
      </c>
      <c r="I37" t="s">
        <v>14</v>
      </c>
      <c r="J37" t="s">
        <v>15</v>
      </c>
      <c r="K37">
        <v>2</v>
      </c>
    </row>
    <row r="38" spans="1:11" x14ac:dyDescent="0.2">
      <c r="A38" t="s">
        <v>181</v>
      </c>
      <c r="B38">
        <v>1</v>
      </c>
      <c r="C38" t="s">
        <v>182</v>
      </c>
      <c r="D38" t="s">
        <v>183</v>
      </c>
      <c r="E38" t="s">
        <v>12</v>
      </c>
      <c r="F38" t="s">
        <v>13</v>
      </c>
      <c r="G38">
        <v>2</v>
      </c>
      <c r="I38" t="s">
        <v>14</v>
      </c>
      <c r="K38">
        <v>2</v>
      </c>
    </row>
    <row r="39" spans="1:11" x14ac:dyDescent="0.2">
      <c r="A39" t="s">
        <v>80</v>
      </c>
      <c r="B39">
        <v>1.25</v>
      </c>
      <c r="C39" t="s">
        <v>81</v>
      </c>
      <c r="D39" t="s">
        <v>82</v>
      </c>
      <c r="E39" t="s">
        <v>12</v>
      </c>
      <c r="F39" t="s">
        <v>13</v>
      </c>
      <c r="G39">
        <v>1</v>
      </c>
      <c r="H39">
        <v>46</v>
      </c>
      <c r="I39" t="s">
        <v>83</v>
      </c>
      <c r="K39">
        <v>2</v>
      </c>
    </row>
    <row r="40" spans="1:11" x14ac:dyDescent="0.2">
      <c r="A40" t="s">
        <v>383</v>
      </c>
      <c r="B40">
        <v>1.3</v>
      </c>
      <c r="C40" t="s">
        <v>384</v>
      </c>
      <c r="D40" t="s">
        <v>385</v>
      </c>
      <c r="E40" t="s">
        <v>12</v>
      </c>
      <c r="F40" t="s">
        <v>13</v>
      </c>
      <c r="G40">
        <v>1</v>
      </c>
      <c r="H40">
        <v>47</v>
      </c>
      <c r="I40" t="s">
        <v>83</v>
      </c>
      <c r="K40">
        <v>3</v>
      </c>
    </row>
    <row r="41" spans="1:11" x14ac:dyDescent="0.2">
      <c r="A41" t="s">
        <v>51</v>
      </c>
      <c r="B41">
        <v>1.25</v>
      </c>
      <c r="C41" t="s">
        <v>52</v>
      </c>
      <c r="E41" t="s">
        <v>12</v>
      </c>
      <c r="F41" t="s">
        <v>13</v>
      </c>
      <c r="G41">
        <v>1</v>
      </c>
      <c r="I41" t="s">
        <v>14</v>
      </c>
      <c r="J41" t="s">
        <v>15</v>
      </c>
      <c r="K41">
        <v>2</v>
      </c>
    </row>
    <row r="42" spans="1:11" x14ac:dyDescent="0.2">
      <c r="A42" t="s">
        <v>57</v>
      </c>
      <c r="B42">
        <v>1.1000000000000001</v>
      </c>
      <c r="C42" t="s">
        <v>58</v>
      </c>
      <c r="E42" t="s">
        <v>12</v>
      </c>
      <c r="F42" t="s">
        <v>13</v>
      </c>
      <c r="G42">
        <v>1</v>
      </c>
      <c r="I42" t="s">
        <v>14</v>
      </c>
      <c r="J42" t="s">
        <v>15</v>
      </c>
      <c r="K42">
        <v>2</v>
      </c>
    </row>
    <row r="43" spans="1:11" x14ac:dyDescent="0.2">
      <c r="A43" t="s">
        <v>344</v>
      </c>
      <c r="B43">
        <v>1.25</v>
      </c>
      <c r="C43" t="s">
        <v>345</v>
      </c>
      <c r="D43" t="s">
        <v>346</v>
      </c>
      <c r="E43" t="s">
        <v>87</v>
      </c>
      <c r="F43" t="s">
        <v>13</v>
      </c>
      <c r="G43">
        <v>1</v>
      </c>
      <c r="H43">
        <v>35</v>
      </c>
      <c r="I43" t="s">
        <v>223</v>
      </c>
      <c r="K43">
        <v>1</v>
      </c>
    </row>
    <row r="44" spans="1:11" x14ac:dyDescent="0.2">
      <c r="A44" t="s">
        <v>94</v>
      </c>
      <c r="B44">
        <v>1.1499999999999999</v>
      </c>
      <c r="C44" t="s">
        <v>95</v>
      </c>
      <c r="D44" t="s">
        <v>96</v>
      </c>
      <c r="E44" t="s">
        <v>87</v>
      </c>
      <c r="F44" t="s">
        <v>13</v>
      </c>
      <c r="G44">
        <v>1</v>
      </c>
      <c r="H44">
        <v>20</v>
      </c>
      <c r="I44" t="s">
        <v>83</v>
      </c>
      <c r="K44">
        <v>3</v>
      </c>
    </row>
    <row r="45" spans="1:11" x14ac:dyDescent="0.2">
      <c r="A45" t="s">
        <v>61</v>
      </c>
      <c r="B45">
        <v>1.25</v>
      </c>
      <c r="C45" t="s">
        <v>62</v>
      </c>
      <c r="E45" t="s">
        <v>12</v>
      </c>
      <c r="F45" t="s">
        <v>13</v>
      </c>
      <c r="G45">
        <v>1</v>
      </c>
      <c r="H45">
        <v>14</v>
      </c>
      <c r="I45" t="s">
        <v>22</v>
      </c>
      <c r="J45" t="s">
        <v>15</v>
      </c>
      <c r="K45">
        <v>2</v>
      </c>
    </row>
    <row r="46" spans="1:11" x14ac:dyDescent="0.2">
      <c r="A46" t="s">
        <v>43</v>
      </c>
      <c r="B46">
        <v>1.25</v>
      </c>
      <c r="C46" t="s">
        <v>44</v>
      </c>
      <c r="E46" t="s">
        <v>12</v>
      </c>
      <c r="F46" t="s">
        <v>13</v>
      </c>
      <c r="G46">
        <v>1</v>
      </c>
      <c r="H46">
        <v>10</v>
      </c>
      <c r="I46" t="s">
        <v>22</v>
      </c>
      <c r="J46" t="s">
        <v>15</v>
      </c>
      <c r="K46">
        <v>4</v>
      </c>
    </row>
    <row r="47" spans="1:11" x14ac:dyDescent="0.2">
      <c r="A47" t="s">
        <v>184</v>
      </c>
      <c r="B47">
        <v>1</v>
      </c>
      <c r="C47" t="s">
        <v>185</v>
      </c>
      <c r="D47" t="s">
        <v>186</v>
      </c>
      <c r="E47" t="s">
        <v>12</v>
      </c>
      <c r="F47" t="s">
        <v>13</v>
      </c>
      <c r="G47">
        <v>2</v>
      </c>
      <c r="I47" t="s">
        <v>14</v>
      </c>
      <c r="K47">
        <v>2</v>
      </c>
    </row>
    <row r="48" spans="1:11" x14ac:dyDescent="0.2">
      <c r="A48" t="s">
        <v>133</v>
      </c>
      <c r="B48">
        <v>1.25</v>
      </c>
      <c r="C48" t="s">
        <v>134</v>
      </c>
      <c r="D48" t="s">
        <v>135</v>
      </c>
      <c r="E48" t="s">
        <v>87</v>
      </c>
      <c r="F48" t="s">
        <v>13</v>
      </c>
      <c r="G48">
        <v>1</v>
      </c>
      <c r="H48">
        <v>22</v>
      </c>
      <c r="I48" t="s">
        <v>83</v>
      </c>
      <c r="K48">
        <v>3</v>
      </c>
    </row>
    <row r="49" spans="1:11" x14ac:dyDescent="0.2">
      <c r="A49" t="s">
        <v>29</v>
      </c>
      <c r="B49">
        <v>1.25</v>
      </c>
      <c r="C49" t="s">
        <v>30</v>
      </c>
      <c r="E49" t="s">
        <v>12</v>
      </c>
      <c r="F49" t="s">
        <v>13</v>
      </c>
      <c r="G49">
        <v>1</v>
      </c>
      <c r="I49" t="s">
        <v>14</v>
      </c>
      <c r="J49" t="s">
        <v>15</v>
      </c>
      <c r="K49">
        <v>6</v>
      </c>
    </row>
    <row r="50" spans="1:11" x14ac:dyDescent="0.2">
      <c r="A50" t="s">
        <v>214</v>
      </c>
      <c r="B50">
        <v>1.25</v>
      </c>
      <c r="C50" t="s">
        <v>215</v>
      </c>
      <c r="D50" t="s">
        <v>216</v>
      </c>
      <c r="E50" t="s">
        <v>12</v>
      </c>
      <c r="F50" t="s">
        <v>13</v>
      </c>
      <c r="G50">
        <v>1</v>
      </c>
      <c r="H50">
        <v>4</v>
      </c>
      <c r="I50" t="s">
        <v>83</v>
      </c>
      <c r="K50">
        <v>4</v>
      </c>
    </row>
    <row r="51" spans="1:11" x14ac:dyDescent="0.2">
      <c r="A51" t="s">
        <v>350</v>
      </c>
      <c r="B51">
        <v>1.3</v>
      </c>
      <c r="C51" t="s">
        <v>351</v>
      </c>
      <c r="D51" t="s">
        <v>352</v>
      </c>
      <c r="E51" t="s">
        <v>87</v>
      </c>
      <c r="F51" t="s">
        <v>13</v>
      </c>
      <c r="G51">
        <v>1</v>
      </c>
      <c r="H51">
        <v>23</v>
      </c>
      <c r="I51" t="s">
        <v>223</v>
      </c>
      <c r="K51">
        <v>4</v>
      </c>
    </row>
    <row r="52" spans="1:11" x14ac:dyDescent="0.2">
      <c r="A52" t="s">
        <v>33</v>
      </c>
      <c r="B52">
        <v>1.25</v>
      </c>
      <c r="C52" t="s">
        <v>34</v>
      </c>
      <c r="E52" t="s">
        <v>12</v>
      </c>
      <c r="F52" t="s">
        <v>13</v>
      </c>
      <c r="G52">
        <v>1</v>
      </c>
      <c r="I52" t="s">
        <v>14</v>
      </c>
      <c r="J52" t="s">
        <v>15</v>
      </c>
      <c r="K52">
        <v>3</v>
      </c>
    </row>
    <row r="53" spans="1:11" x14ac:dyDescent="0.2">
      <c r="A53" t="s">
        <v>290</v>
      </c>
      <c r="B53">
        <v>1.1000000000000001</v>
      </c>
      <c r="C53" t="s">
        <v>291</v>
      </c>
      <c r="D53" t="s">
        <v>292</v>
      </c>
      <c r="E53" t="s">
        <v>87</v>
      </c>
      <c r="F53" t="s">
        <v>13</v>
      </c>
      <c r="G53">
        <v>1</v>
      </c>
      <c r="H53">
        <v>25</v>
      </c>
      <c r="I53" t="s">
        <v>223</v>
      </c>
      <c r="K53">
        <v>4</v>
      </c>
    </row>
    <row r="54" spans="1:11" x14ac:dyDescent="0.2">
      <c r="A54" t="s">
        <v>284</v>
      </c>
      <c r="B54">
        <v>1.3</v>
      </c>
      <c r="C54" t="s">
        <v>285</v>
      </c>
      <c r="D54" t="s">
        <v>286</v>
      </c>
      <c r="E54" t="s">
        <v>87</v>
      </c>
      <c r="F54" t="s">
        <v>13</v>
      </c>
      <c r="G54">
        <v>1</v>
      </c>
      <c r="H54">
        <v>36</v>
      </c>
      <c r="I54" t="s">
        <v>223</v>
      </c>
      <c r="K54">
        <v>4</v>
      </c>
    </row>
    <row r="55" spans="1:11" x14ac:dyDescent="0.2">
      <c r="A55" t="s">
        <v>37</v>
      </c>
      <c r="B55">
        <v>1.2</v>
      </c>
      <c r="C55" t="s">
        <v>38</v>
      </c>
      <c r="E55" t="s">
        <v>12</v>
      </c>
      <c r="F55" t="s">
        <v>13</v>
      </c>
      <c r="G55">
        <v>1</v>
      </c>
      <c r="H55">
        <v>12</v>
      </c>
      <c r="I55" t="s">
        <v>22</v>
      </c>
      <c r="J55" t="s">
        <v>15</v>
      </c>
      <c r="K55">
        <v>1</v>
      </c>
    </row>
    <row r="56" spans="1:11" x14ac:dyDescent="0.2">
      <c r="A56" t="s">
        <v>293</v>
      </c>
      <c r="B56">
        <v>1.25</v>
      </c>
      <c r="C56" t="s">
        <v>294</v>
      </c>
      <c r="D56" t="s">
        <v>295</v>
      </c>
      <c r="E56" t="s">
        <v>87</v>
      </c>
      <c r="F56" t="s">
        <v>13</v>
      </c>
      <c r="G56">
        <v>1</v>
      </c>
      <c r="H56">
        <v>20</v>
      </c>
      <c r="I56" t="s">
        <v>223</v>
      </c>
      <c r="K56">
        <v>3</v>
      </c>
    </row>
    <row r="57" spans="1:11" x14ac:dyDescent="0.2">
      <c r="A57" t="s">
        <v>148</v>
      </c>
      <c r="B57">
        <v>1.2</v>
      </c>
      <c r="C57" t="s">
        <v>149</v>
      </c>
      <c r="D57" t="s">
        <v>150</v>
      </c>
      <c r="E57" t="s">
        <v>87</v>
      </c>
      <c r="F57" t="s">
        <v>13</v>
      </c>
      <c r="G57">
        <v>1</v>
      </c>
      <c r="H57">
        <v>23</v>
      </c>
      <c r="I57" t="s">
        <v>83</v>
      </c>
      <c r="K57">
        <v>4</v>
      </c>
    </row>
    <row r="58" spans="1:11" x14ac:dyDescent="0.2">
      <c r="A58" t="s">
        <v>106</v>
      </c>
      <c r="B58">
        <v>1.25</v>
      </c>
      <c r="C58" t="s">
        <v>107</v>
      </c>
      <c r="D58" t="s">
        <v>108</v>
      </c>
      <c r="E58" t="s">
        <v>87</v>
      </c>
      <c r="F58" t="s">
        <v>13</v>
      </c>
      <c r="G58">
        <v>1</v>
      </c>
      <c r="H58">
        <v>31</v>
      </c>
      <c r="I58" t="s">
        <v>83</v>
      </c>
      <c r="K58">
        <v>4</v>
      </c>
    </row>
    <row r="59" spans="1:11" x14ac:dyDescent="0.2">
      <c r="A59" t="s">
        <v>227</v>
      </c>
      <c r="B59">
        <v>1</v>
      </c>
      <c r="C59" t="s">
        <v>228</v>
      </c>
      <c r="D59" t="s">
        <v>229</v>
      </c>
      <c r="E59" t="s">
        <v>12</v>
      </c>
      <c r="F59" t="s">
        <v>13</v>
      </c>
      <c r="G59">
        <v>1</v>
      </c>
      <c r="H59">
        <v>7</v>
      </c>
      <c r="I59" t="s">
        <v>223</v>
      </c>
      <c r="K59">
        <v>2</v>
      </c>
    </row>
    <row r="60" spans="1:11" x14ac:dyDescent="0.2">
      <c r="A60" t="s">
        <v>45</v>
      </c>
      <c r="B60">
        <v>1.25</v>
      </c>
      <c r="C60" t="s">
        <v>46</v>
      </c>
      <c r="E60" t="s">
        <v>12</v>
      </c>
      <c r="F60" t="s">
        <v>13</v>
      </c>
      <c r="G60">
        <v>1</v>
      </c>
      <c r="H60">
        <v>9</v>
      </c>
      <c r="I60" t="s">
        <v>22</v>
      </c>
      <c r="J60" t="s">
        <v>15</v>
      </c>
      <c r="K60">
        <v>3</v>
      </c>
    </row>
    <row r="61" spans="1:11" x14ac:dyDescent="0.2">
      <c r="A61" t="s">
        <v>127</v>
      </c>
      <c r="B61">
        <v>1.45</v>
      </c>
      <c r="C61" t="s">
        <v>128</v>
      </c>
      <c r="D61" t="s">
        <v>129</v>
      </c>
      <c r="E61" t="s">
        <v>87</v>
      </c>
      <c r="F61" t="s">
        <v>13</v>
      </c>
      <c r="G61">
        <v>1</v>
      </c>
      <c r="H61">
        <v>36</v>
      </c>
      <c r="I61" t="s">
        <v>83</v>
      </c>
      <c r="K61">
        <v>4</v>
      </c>
    </row>
    <row r="62" spans="1:11" x14ac:dyDescent="0.2">
      <c r="A62" t="s">
        <v>311</v>
      </c>
      <c r="B62">
        <v>1</v>
      </c>
      <c r="C62" t="s">
        <v>312</v>
      </c>
      <c r="D62" t="s">
        <v>313</v>
      </c>
      <c r="E62" t="s">
        <v>87</v>
      </c>
      <c r="F62" t="s">
        <v>13</v>
      </c>
      <c r="G62">
        <v>2</v>
      </c>
      <c r="H62">
        <v>21</v>
      </c>
      <c r="I62" t="s">
        <v>223</v>
      </c>
      <c r="K62">
        <v>4</v>
      </c>
    </row>
    <row r="63" spans="1:11" x14ac:dyDescent="0.2">
      <c r="A63" t="s">
        <v>77</v>
      </c>
      <c r="B63">
        <v>1.25</v>
      </c>
      <c r="C63" t="s">
        <v>78</v>
      </c>
      <c r="D63" t="s">
        <v>79</v>
      </c>
      <c r="E63" t="s">
        <v>12</v>
      </c>
      <c r="F63" t="s">
        <v>13</v>
      </c>
      <c r="G63">
        <v>1</v>
      </c>
      <c r="H63">
        <v>17</v>
      </c>
      <c r="I63" t="s">
        <v>22</v>
      </c>
      <c r="K63">
        <v>5</v>
      </c>
    </row>
    <row r="64" spans="1:11" x14ac:dyDescent="0.2">
      <c r="A64" t="s">
        <v>389</v>
      </c>
      <c r="B64">
        <v>1.1499999999999999</v>
      </c>
      <c r="C64" t="s">
        <v>390</v>
      </c>
      <c r="D64" t="s">
        <v>391</v>
      </c>
      <c r="E64" t="s">
        <v>12</v>
      </c>
      <c r="F64" t="s">
        <v>13</v>
      </c>
      <c r="G64">
        <v>1</v>
      </c>
      <c r="H64">
        <v>11</v>
      </c>
      <c r="I64" t="s">
        <v>83</v>
      </c>
      <c r="K64">
        <v>4</v>
      </c>
    </row>
    <row r="65" spans="1:11" x14ac:dyDescent="0.2">
      <c r="A65" t="s">
        <v>320</v>
      </c>
      <c r="B65">
        <v>1</v>
      </c>
      <c r="C65" t="s">
        <v>321</v>
      </c>
      <c r="D65" t="s">
        <v>322</v>
      </c>
      <c r="E65" t="s">
        <v>87</v>
      </c>
      <c r="F65" t="s">
        <v>13</v>
      </c>
      <c r="G65">
        <v>2</v>
      </c>
      <c r="H65">
        <v>41</v>
      </c>
      <c r="I65" t="s">
        <v>223</v>
      </c>
      <c r="K65">
        <v>3</v>
      </c>
    </row>
    <row r="66" spans="1:11" x14ac:dyDescent="0.2">
      <c r="A66" t="s">
        <v>10</v>
      </c>
      <c r="B66">
        <v>1.25</v>
      </c>
      <c r="C66" t="s">
        <v>11</v>
      </c>
      <c r="E66" t="s">
        <v>12</v>
      </c>
      <c r="F66" t="s">
        <v>13</v>
      </c>
      <c r="G66">
        <v>1</v>
      </c>
      <c r="I66" t="s">
        <v>14</v>
      </c>
      <c r="J66" t="s">
        <v>15</v>
      </c>
      <c r="K66">
        <v>3</v>
      </c>
    </row>
    <row r="67" spans="1:11" x14ac:dyDescent="0.2">
      <c r="A67" t="s">
        <v>305</v>
      </c>
      <c r="B67">
        <v>1.25</v>
      </c>
      <c r="C67" t="s">
        <v>306</v>
      </c>
      <c r="D67" t="s">
        <v>307</v>
      </c>
      <c r="E67" t="s">
        <v>87</v>
      </c>
      <c r="F67" t="s">
        <v>13</v>
      </c>
      <c r="G67">
        <v>1</v>
      </c>
      <c r="H67">
        <v>31</v>
      </c>
      <c r="I67" t="s">
        <v>223</v>
      </c>
      <c r="K67">
        <v>4</v>
      </c>
    </row>
    <row r="68" spans="1:11" x14ac:dyDescent="0.2">
      <c r="A68" t="s">
        <v>69</v>
      </c>
      <c r="B68">
        <v>1.25</v>
      </c>
      <c r="C68" t="s">
        <v>70</v>
      </c>
      <c r="E68" t="s">
        <v>12</v>
      </c>
      <c r="F68" t="s">
        <v>13</v>
      </c>
      <c r="G68">
        <v>1</v>
      </c>
      <c r="I68" t="s">
        <v>14</v>
      </c>
      <c r="J68" t="s">
        <v>15</v>
      </c>
      <c r="K68">
        <v>3</v>
      </c>
    </row>
    <row r="69" spans="1:11" x14ac:dyDescent="0.2">
      <c r="A69" t="s">
        <v>97</v>
      </c>
      <c r="B69">
        <v>1.2</v>
      </c>
      <c r="C69" t="s">
        <v>98</v>
      </c>
      <c r="D69" t="s">
        <v>99</v>
      </c>
      <c r="E69" t="s">
        <v>87</v>
      </c>
      <c r="F69" t="s">
        <v>13</v>
      </c>
      <c r="G69">
        <v>1</v>
      </c>
      <c r="H69">
        <v>25</v>
      </c>
      <c r="I69" t="s">
        <v>83</v>
      </c>
      <c r="K69">
        <v>4</v>
      </c>
    </row>
    <row r="70" spans="1:11" x14ac:dyDescent="0.2">
      <c r="A70" t="s">
        <v>142</v>
      </c>
      <c r="B70">
        <v>1.25</v>
      </c>
      <c r="C70" t="s">
        <v>143</v>
      </c>
      <c r="D70" t="s">
        <v>144</v>
      </c>
      <c r="E70" t="s">
        <v>87</v>
      </c>
      <c r="F70" t="s">
        <v>13</v>
      </c>
      <c r="G70">
        <v>1</v>
      </c>
      <c r="H70">
        <v>32</v>
      </c>
      <c r="I70" t="s">
        <v>83</v>
      </c>
      <c r="K70">
        <v>3</v>
      </c>
    </row>
    <row r="71" spans="1:11" x14ac:dyDescent="0.2">
      <c r="A71" t="s">
        <v>157</v>
      </c>
      <c r="B71">
        <v>1.2</v>
      </c>
      <c r="C71" t="s">
        <v>158</v>
      </c>
      <c r="D71" t="s">
        <v>159</v>
      </c>
      <c r="E71" t="s">
        <v>87</v>
      </c>
      <c r="F71" t="s">
        <v>13</v>
      </c>
      <c r="G71">
        <v>1</v>
      </c>
      <c r="H71">
        <v>43</v>
      </c>
      <c r="I71" t="s">
        <v>83</v>
      </c>
      <c r="K71">
        <v>1</v>
      </c>
    </row>
    <row r="72" spans="1:11" x14ac:dyDescent="0.2">
      <c r="A72" t="s">
        <v>317</v>
      </c>
      <c r="B72">
        <v>1.2</v>
      </c>
      <c r="C72" t="s">
        <v>318</v>
      </c>
      <c r="D72" t="s">
        <v>319</v>
      </c>
      <c r="E72" t="s">
        <v>87</v>
      </c>
      <c r="F72" t="s">
        <v>13</v>
      </c>
      <c r="G72">
        <v>1</v>
      </c>
      <c r="H72">
        <v>27</v>
      </c>
      <c r="I72" t="s">
        <v>223</v>
      </c>
      <c r="K72">
        <v>3</v>
      </c>
    </row>
    <row r="73" spans="1:11" x14ac:dyDescent="0.2">
      <c r="A73" t="s">
        <v>278</v>
      </c>
      <c r="B73">
        <v>1</v>
      </c>
      <c r="C73" t="s">
        <v>279</v>
      </c>
      <c r="D73" t="s">
        <v>280</v>
      </c>
      <c r="E73" t="s">
        <v>12</v>
      </c>
      <c r="F73" t="s">
        <v>13</v>
      </c>
      <c r="G73">
        <v>1</v>
      </c>
      <c r="H73">
        <v>15</v>
      </c>
      <c r="I73" t="s">
        <v>223</v>
      </c>
      <c r="K73">
        <v>5</v>
      </c>
    </row>
    <row r="74" spans="1:11" x14ac:dyDescent="0.2">
      <c r="A74" t="s">
        <v>190</v>
      </c>
      <c r="B74">
        <v>1</v>
      </c>
      <c r="C74" t="s">
        <v>191</v>
      </c>
      <c r="D74" t="s">
        <v>192</v>
      </c>
      <c r="E74" t="s">
        <v>12</v>
      </c>
      <c r="F74" t="s">
        <v>13</v>
      </c>
      <c r="G74">
        <v>2</v>
      </c>
      <c r="I74" t="s">
        <v>14</v>
      </c>
      <c r="K74">
        <v>3</v>
      </c>
    </row>
    <row r="75" spans="1:11" x14ac:dyDescent="0.2">
      <c r="A75" t="s">
        <v>308</v>
      </c>
      <c r="B75">
        <v>1.2</v>
      </c>
      <c r="C75" t="s">
        <v>309</v>
      </c>
      <c r="D75" t="s">
        <v>310</v>
      </c>
      <c r="E75" t="s">
        <v>87</v>
      </c>
      <c r="F75" t="s">
        <v>13</v>
      </c>
      <c r="G75">
        <v>1</v>
      </c>
      <c r="H75">
        <v>18</v>
      </c>
      <c r="I75" t="s">
        <v>223</v>
      </c>
      <c r="K75">
        <v>5</v>
      </c>
    </row>
    <row r="76" spans="1:11" x14ac:dyDescent="0.2">
      <c r="A76" t="s">
        <v>100</v>
      </c>
      <c r="B76">
        <v>1.2</v>
      </c>
      <c r="C76" t="s">
        <v>101</v>
      </c>
      <c r="D76" t="s">
        <v>102</v>
      </c>
      <c r="E76" t="s">
        <v>87</v>
      </c>
      <c r="F76" t="s">
        <v>13</v>
      </c>
      <c r="G76">
        <v>1</v>
      </c>
      <c r="H76">
        <v>26</v>
      </c>
      <c r="I76" t="s">
        <v>83</v>
      </c>
      <c r="K76">
        <v>5</v>
      </c>
    </row>
    <row r="77" spans="1:11" x14ac:dyDescent="0.2">
      <c r="A77" t="s">
        <v>205</v>
      </c>
      <c r="B77">
        <v>1</v>
      </c>
      <c r="C77" t="s">
        <v>206</v>
      </c>
      <c r="D77" t="s">
        <v>207</v>
      </c>
      <c r="E77" t="s">
        <v>12</v>
      </c>
      <c r="F77" t="s">
        <v>13</v>
      </c>
      <c r="G77">
        <v>2</v>
      </c>
      <c r="I77" t="s">
        <v>14</v>
      </c>
      <c r="K77">
        <v>3</v>
      </c>
    </row>
    <row r="78" spans="1:11" x14ac:dyDescent="0.2">
      <c r="A78" t="s">
        <v>178</v>
      </c>
      <c r="B78">
        <v>1</v>
      </c>
      <c r="C78" t="s">
        <v>179</v>
      </c>
      <c r="D78" t="s">
        <v>180</v>
      </c>
      <c r="E78" t="s">
        <v>12</v>
      </c>
      <c r="F78" t="s">
        <v>13</v>
      </c>
      <c r="G78">
        <v>2</v>
      </c>
      <c r="I78" t="s">
        <v>14</v>
      </c>
      <c r="K78">
        <v>3</v>
      </c>
    </row>
    <row r="79" spans="1:11" x14ac:dyDescent="0.2">
      <c r="A79" t="s">
        <v>118</v>
      </c>
      <c r="B79">
        <v>1.35</v>
      </c>
      <c r="C79" t="s">
        <v>119</v>
      </c>
      <c r="D79" t="s">
        <v>120</v>
      </c>
      <c r="E79" t="s">
        <v>87</v>
      </c>
      <c r="F79" t="s">
        <v>13</v>
      </c>
      <c r="G79">
        <v>1</v>
      </c>
      <c r="H79">
        <v>40</v>
      </c>
      <c r="I79" t="s">
        <v>83</v>
      </c>
      <c r="K79">
        <v>5</v>
      </c>
    </row>
    <row r="80" spans="1:11" x14ac:dyDescent="0.2">
      <c r="A80" t="s">
        <v>91</v>
      </c>
      <c r="B80">
        <v>1.35</v>
      </c>
      <c r="C80" t="s">
        <v>92</v>
      </c>
      <c r="D80" t="s">
        <v>93</v>
      </c>
      <c r="E80" t="s">
        <v>12</v>
      </c>
      <c r="F80" t="s">
        <v>13</v>
      </c>
      <c r="G80">
        <v>1</v>
      </c>
      <c r="H80">
        <v>44</v>
      </c>
      <c r="I80" t="s">
        <v>83</v>
      </c>
      <c r="K80">
        <v>5</v>
      </c>
    </row>
    <row r="81" spans="1:11" x14ac:dyDescent="0.2">
      <c r="A81" t="s">
        <v>299</v>
      </c>
      <c r="B81">
        <v>1.3</v>
      </c>
      <c r="C81" t="s">
        <v>300</v>
      </c>
      <c r="D81" t="s">
        <v>301</v>
      </c>
      <c r="E81" t="s">
        <v>87</v>
      </c>
      <c r="F81" t="s">
        <v>13</v>
      </c>
      <c r="G81">
        <v>1</v>
      </c>
      <c r="H81">
        <v>38</v>
      </c>
      <c r="I81" t="s">
        <v>223</v>
      </c>
      <c r="K81">
        <v>5</v>
      </c>
    </row>
    <row r="82" spans="1:11" x14ac:dyDescent="0.2">
      <c r="A82" t="s">
        <v>73</v>
      </c>
      <c r="B82">
        <v>1.25</v>
      </c>
      <c r="C82" t="s">
        <v>74</v>
      </c>
      <c r="E82" t="s">
        <v>12</v>
      </c>
      <c r="F82" t="s">
        <v>13</v>
      </c>
      <c r="G82">
        <v>1</v>
      </c>
      <c r="I82" t="s">
        <v>14</v>
      </c>
      <c r="J82" t="s">
        <v>15</v>
      </c>
      <c r="K82">
        <v>3</v>
      </c>
    </row>
    <row r="83" spans="1:11" x14ac:dyDescent="0.2">
      <c r="A83" t="s">
        <v>275</v>
      </c>
      <c r="B83">
        <v>1</v>
      </c>
      <c r="C83" t="s">
        <v>276</v>
      </c>
      <c r="D83" t="s">
        <v>277</v>
      </c>
      <c r="E83" t="s">
        <v>12</v>
      </c>
      <c r="F83" t="s">
        <v>13</v>
      </c>
      <c r="G83">
        <v>1</v>
      </c>
      <c r="H83">
        <v>16</v>
      </c>
      <c r="I83" t="s">
        <v>223</v>
      </c>
      <c r="K83">
        <v>6</v>
      </c>
    </row>
    <row r="84" spans="1:11" x14ac:dyDescent="0.2">
      <c r="A84" t="s">
        <v>332</v>
      </c>
      <c r="B84">
        <v>1</v>
      </c>
      <c r="C84" t="s">
        <v>333</v>
      </c>
      <c r="D84" t="s">
        <v>334</v>
      </c>
      <c r="E84" t="s">
        <v>87</v>
      </c>
      <c r="F84" t="s">
        <v>13</v>
      </c>
      <c r="G84">
        <v>1</v>
      </c>
      <c r="H84">
        <v>39</v>
      </c>
      <c r="I84" t="s">
        <v>223</v>
      </c>
      <c r="K84">
        <v>5</v>
      </c>
    </row>
    <row r="85" spans="1:11" x14ac:dyDescent="0.2">
      <c r="A85" t="s">
        <v>239</v>
      </c>
      <c r="B85">
        <v>1.3</v>
      </c>
      <c r="C85" t="s">
        <v>240</v>
      </c>
      <c r="D85" t="s">
        <v>241</v>
      </c>
      <c r="E85" t="s">
        <v>12</v>
      </c>
      <c r="F85" t="s">
        <v>13</v>
      </c>
      <c r="G85">
        <v>1</v>
      </c>
      <c r="H85">
        <v>45</v>
      </c>
      <c r="I85" t="s">
        <v>223</v>
      </c>
      <c r="K85">
        <v>2</v>
      </c>
    </row>
    <row r="86" spans="1:11" x14ac:dyDescent="0.2">
      <c r="A86" t="s">
        <v>193</v>
      </c>
      <c r="B86">
        <v>1</v>
      </c>
      <c r="C86" t="s">
        <v>194</v>
      </c>
      <c r="D86" t="s">
        <v>195</v>
      </c>
      <c r="E86" t="s">
        <v>12</v>
      </c>
      <c r="F86" t="s">
        <v>13</v>
      </c>
      <c r="G86">
        <v>2</v>
      </c>
      <c r="I86" t="s">
        <v>14</v>
      </c>
      <c r="K86">
        <v>4</v>
      </c>
    </row>
    <row r="87" spans="1:11" x14ac:dyDescent="0.2">
      <c r="A87" t="s">
        <v>392</v>
      </c>
      <c r="B87">
        <v>1.1499999999999999</v>
      </c>
      <c r="C87" t="s">
        <v>393</v>
      </c>
      <c r="D87" t="s">
        <v>394</v>
      </c>
      <c r="E87" t="s">
        <v>12</v>
      </c>
      <c r="F87" t="s">
        <v>13</v>
      </c>
      <c r="G87">
        <v>1</v>
      </c>
      <c r="H87">
        <v>6</v>
      </c>
      <c r="I87" t="s">
        <v>223</v>
      </c>
      <c r="K87">
        <v>6</v>
      </c>
    </row>
    <row r="88" spans="1:11" x14ac:dyDescent="0.2">
      <c r="A88" t="s">
        <v>20</v>
      </c>
      <c r="B88">
        <v>1.25</v>
      </c>
      <c r="C88" t="s">
        <v>21</v>
      </c>
      <c r="E88" t="s">
        <v>12</v>
      </c>
      <c r="F88" t="s">
        <v>13</v>
      </c>
      <c r="G88">
        <v>1</v>
      </c>
      <c r="H88">
        <v>6</v>
      </c>
      <c r="I88" t="s">
        <v>22</v>
      </c>
      <c r="J88" t="s">
        <v>15</v>
      </c>
      <c r="K88">
        <v>6</v>
      </c>
    </row>
    <row r="89" spans="1:11" x14ac:dyDescent="0.2">
      <c r="A89" t="s">
        <v>251</v>
      </c>
      <c r="B89">
        <v>1.1000000000000001</v>
      </c>
      <c r="C89" t="s">
        <v>252</v>
      </c>
      <c r="D89" t="s">
        <v>253</v>
      </c>
      <c r="E89" t="s">
        <v>12</v>
      </c>
      <c r="F89" t="s">
        <v>13</v>
      </c>
      <c r="G89">
        <v>1</v>
      </c>
      <c r="H89">
        <v>4</v>
      </c>
      <c r="I89" t="s">
        <v>223</v>
      </c>
      <c r="K89">
        <v>4</v>
      </c>
    </row>
    <row r="90" spans="1:11" x14ac:dyDescent="0.2">
      <c r="A90" t="s">
        <v>47</v>
      </c>
      <c r="B90">
        <v>1.2</v>
      </c>
      <c r="C90" t="s">
        <v>48</v>
      </c>
      <c r="E90" t="s">
        <v>12</v>
      </c>
      <c r="F90" t="s">
        <v>13</v>
      </c>
      <c r="G90">
        <v>1</v>
      </c>
      <c r="I90" t="s">
        <v>14</v>
      </c>
      <c r="J90" t="s">
        <v>15</v>
      </c>
      <c r="K90">
        <v>4</v>
      </c>
    </row>
    <row r="91" spans="1:11" x14ac:dyDescent="0.2">
      <c r="A91" t="s">
        <v>220</v>
      </c>
      <c r="B91">
        <v>1.25</v>
      </c>
      <c r="C91" t="s">
        <v>221</v>
      </c>
      <c r="D91" t="s">
        <v>222</v>
      </c>
      <c r="E91" t="s">
        <v>12</v>
      </c>
      <c r="F91" t="s">
        <v>13</v>
      </c>
      <c r="G91">
        <v>1</v>
      </c>
      <c r="H91">
        <v>3</v>
      </c>
      <c r="I91" t="s">
        <v>223</v>
      </c>
      <c r="K91">
        <v>6</v>
      </c>
    </row>
    <row r="92" spans="1:11" x14ac:dyDescent="0.2">
      <c r="A92" t="s">
        <v>23</v>
      </c>
      <c r="B92">
        <v>1.2</v>
      </c>
      <c r="C92" t="s">
        <v>24</v>
      </c>
      <c r="E92" t="s">
        <v>12</v>
      </c>
      <c r="F92" t="s">
        <v>13</v>
      </c>
      <c r="G92">
        <v>1</v>
      </c>
      <c r="I92" t="s">
        <v>14</v>
      </c>
      <c r="J92" t="s">
        <v>15</v>
      </c>
      <c r="K92">
        <v>4</v>
      </c>
    </row>
    <row r="93" spans="1:11" x14ac:dyDescent="0.2">
      <c r="A93" t="s">
        <v>314</v>
      </c>
      <c r="B93">
        <v>1.1000000000000001</v>
      </c>
      <c r="C93" t="s">
        <v>315</v>
      </c>
      <c r="D93" t="s">
        <v>316</v>
      </c>
      <c r="E93" t="s">
        <v>87</v>
      </c>
      <c r="F93" t="s">
        <v>13</v>
      </c>
      <c r="G93">
        <v>1</v>
      </c>
      <c r="H93">
        <v>40</v>
      </c>
      <c r="I93" t="s">
        <v>223</v>
      </c>
      <c r="K93">
        <v>5</v>
      </c>
    </row>
    <row r="94" spans="1:11" x14ac:dyDescent="0.2">
      <c r="A94" t="s">
        <v>368</v>
      </c>
      <c r="B94">
        <v>1.3</v>
      </c>
      <c r="C94" t="s">
        <v>369</v>
      </c>
      <c r="D94" t="s">
        <v>370</v>
      </c>
      <c r="E94" t="s">
        <v>12</v>
      </c>
      <c r="F94" t="s">
        <v>13</v>
      </c>
      <c r="G94">
        <v>1</v>
      </c>
      <c r="H94">
        <v>15</v>
      </c>
      <c r="I94" t="s">
        <v>83</v>
      </c>
      <c r="K94">
        <v>5</v>
      </c>
    </row>
    <row r="95" spans="1:11" x14ac:dyDescent="0.2">
      <c r="A95" t="s">
        <v>71</v>
      </c>
      <c r="B95">
        <v>1.25</v>
      </c>
      <c r="C95" t="s">
        <v>72</v>
      </c>
      <c r="E95" t="s">
        <v>12</v>
      </c>
      <c r="F95" t="s">
        <v>13</v>
      </c>
      <c r="G95">
        <v>1</v>
      </c>
      <c r="I95" t="s">
        <v>14</v>
      </c>
      <c r="J95" t="s">
        <v>15</v>
      </c>
      <c r="K95">
        <v>4</v>
      </c>
    </row>
    <row r="96" spans="1:11" x14ac:dyDescent="0.2">
      <c r="A96" t="s">
        <v>245</v>
      </c>
      <c r="B96">
        <v>1.4</v>
      </c>
      <c r="C96" t="s">
        <v>246</v>
      </c>
      <c r="D96" t="s">
        <v>247</v>
      </c>
      <c r="E96" t="s">
        <v>12</v>
      </c>
      <c r="F96" t="s">
        <v>13</v>
      </c>
      <c r="G96">
        <v>1</v>
      </c>
      <c r="H96">
        <v>11</v>
      </c>
      <c r="I96" t="s">
        <v>223</v>
      </c>
      <c r="K96">
        <v>4</v>
      </c>
    </row>
    <row r="97" spans="1:11" x14ac:dyDescent="0.2">
      <c r="A97" t="s">
        <v>25</v>
      </c>
      <c r="B97">
        <v>1.25</v>
      </c>
      <c r="C97" t="s">
        <v>26</v>
      </c>
      <c r="E97" t="s">
        <v>12</v>
      </c>
      <c r="F97" t="s">
        <v>13</v>
      </c>
      <c r="G97">
        <v>1</v>
      </c>
      <c r="I97" t="s">
        <v>14</v>
      </c>
      <c r="J97" t="s">
        <v>15</v>
      </c>
      <c r="K97">
        <v>4</v>
      </c>
    </row>
    <row r="98" spans="1:11" x14ac:dyDescent="0.2">
      <c r="A98" t="s">
        <v>242</v>
      </c>
      <c r="B98">
        <v>1.2</v>
      </c>
      <c r="C98" t="s">
        <v>243</v>
      </c>
      <c r="D98" t="s">
        <v>244</v>
      </c>
      <c r="E98" t="s">
        <v>12</v>
      </c>
      <c r="F98" t="s">
        <v>13</v>
      </c>
      <c r="G98">
        <v>1</v>
      </c>
      <c r="H98">
        <v>17</v>
      </c>
      <c r="I98" t="s">
        <v>223</v>
      </c>
      <c r="K98">
        <v>5</v>
      </c>
    </row>
    <row r="99" spans="1:11" x14ac:dyDescent="0.2">
      <c r="A99" t="s">
        <v>338</v>
      </c>
      <c r="B99">
        <v>1.2</v>
      </c>
      <c r="C99" t="s">
        <v>339</v>
      </c>
      <c r="D99" t="s">
        <v>340</v>
      </c>
      <c r="E99" t="s">
        <v>87</v>
      </c>
      <c r="F99" t="s">
        <v>13</v>
      </c>
      <c r="G99">
        <v>1</v>
      </c>
      <c r="H99">
        <v>30</v>
      </c>
      <c r="I99" t="s">
        <v>223</v>
      </c>
      <c r="K99">
        <v>6</v>
      </c>
    </row>
    <row r="100" spans="1:11" x14ac:dyDescent="0.2">
      <c r="A100" t="s">
        <v>59</v>
      </c>
      <c r="B100">
        <v>1.25</v>
      </c>
      <c r="C100" t="s">
        <v>60</v>
      </c>
      <c r="E100" t="s">
        <v>12</v>
      </c>
      <c r="F100" t="s">
        <v>13</v>
      </c>
      <c r="G100">
        <v>1</v>
      </c>
      <c r="I100" t="s">
        <v>14</v>
      </c>
      <c r="J100" t="s">
        <v>15</v>
      </c>
      <c r="K100">
        <v>4</v>
      </c>
    </row>
    <row r="101" spans="1:11" x14ac:dyDescent="0.2">
      <c r="A101" t="s">
        <v>224</v>
      </c>
      <c r="B101">
        <v>1.25</v>
      </c>
      <c r="C101" t="s">
        <v>225</v>
      </c>
      <c r="D101" t="s">
        <v>226</v>
      </c>
      <c r="E101" t="s">
        <v>12</v>
      </c>
      <c r="F101" t="s">
        <v>13</v>
      </c>
      <c r="G101">
        <v>1</v>
      </c>
      <c r="H101">
        <v>44</v>
      </c>
      <c r="I101" t="s">
        <v>223</v>
      </c>
      <c r="K101">
        <v>5</v>
      </c>
    </row>
    <row r="102" spans="1:11" x14ac:dyDescent="0.2">
      <c r="A102" t="s">
        <v>335</v>
      </c>
      <c r="B102">
        <v>1.25</v>
      </c>
      <c r="C102" t="s">
        <v>336</v>
      </c>
      <c r="D102" t="s">
        <v>337</v>
      </c>
      <c r="E102" t="s">
        <v>87</v>
      </c>
      <c r="F102" t="s">
        <v>13</v>
      </c>
      <c r="G102">
        <v>1</v>
      </c>
      <c r="H102">
        <v>37</v>
      </c>
      <c r="I102" t="s">
        <v>223</v>
      </c>
      <c r="K102">
        <v>6</v>
      </c>
    </row>
    <row r="103" spans="1:11" x14ac:dyDescent="0.2">
      <c r="A103" t="s">
        <v>326</v>
      </c>
      <c r="B103">
        <v>1.25</v>
      </c>
      <c r="C103" t="s">
        <v>327</v>
      </c>
      <c r="D103" t="s">
        <v>328</v>
      </c>
      <c r="E103" t="s">
        <v>87</v>
      </c>
      <c r="F103" t="s">
        <v>13</v>
      </c>
      <c r="G103">
        <v>1</v>
      </c>
      <c r="H103">
        <v>22</v>
      </c>
      <c r="I103" t="s">
        <v>223</v>
      </c>
      <c r="K103">
        <v>3</v>
      </c>
    </row>
    <row r="104" spans="1:11" x14ac:dyDescent="0.2">
      <c r="A104" t="s">
        <v>75</v>
      </c>
      <c r="B104">
        <v>1.25</v>
      </c>
      <c r="C104" t="s">
        <v>76</v>
      </c>
      <c r="E104" t="s">
        <v>12</v>
      </c>
      <c r="F104" t="s">
        <v>13</v>
      </c>
      <c r="G104">
        <v>1</v>
      </c>
      <c r="H104">
        <v>16</v>
      </c>
      <c r="I104" t="s">
        <v>22</v>
      </c>
      <c r="J104" t="s">
        <v>15</v>
      </c>
      <c r="K104">
        <v>6</v>
      </c>
    </row>
    <row r="105" spans="1:11" x14ac:dyDescent="0.2">
      <c r="A105" t="s">
        <v>53</v>
      </c>
      <c r="B105">
        <v>1.25</v>
      </c>
      <c r="C105" t="s">
        <v>54</v>
      </c>
      <c r="E105" t="s">
        <v>12</v>
      </c>
      <c r="F105" t="s">
        <v>13</v>
      </c>
      <c r="G105">
        <v>1</v>
      </c>
      <c r="I105" t="s">
        <v>14</v>
      </c>
      <c r="J105" t="s">
        <v>15</v>
      </c>
      <c r="K105">
        <v>4</v>
      </c>
    </row>
    <row r="106" spans="1:11" x14ac:dyDescent="0.2">
      <c r="A106" t="s">
        <v>84</v>
      </c>
      <c r="B106">
        <v>1.3</v>
      </c>
      <c r="C106" t="s">
        <v>85</v>
      </c>
      <c r="D106" t="s">
        <v>86</v>
      </c>
      <c r="E106" t="s">
        <v>87</v>
      </c>
      <c r="F106" t="s">
        <v>13</v>
      </c>
      <c r="G106">
        <v>1</v>
      </c>
      <c r="H106">
        <v>34</v>
      </c>
      <c r="I106" t="s">
        <v>83</v>
      </c>
      <c r="K106">
        <v>1</v>
      </c>
    </row>
    <row r="107" spans="1:11" x14ac:dyDescent="0.2">
      <c r="A107" t="s">
        <v>136</v>
      </c>
      <c r="B107">
        <v>1.3</v>
      </c>
      <c r="C107" t="s">
        <v>137</v>
      </c>
      <c r="D107" t="s">
        <v>138</v>
      </c>
      <c r="E107" t="s">
        <v>87</v>
      </c>
      <c r="F107" t="s">
        <v>13</v>
      </c>
      <c r="G107">
        <v>1</v>
      </c>
      <c r="H107">
        <v>37</v>
      </c>
      <c r="I107" t="s">
        <v>83</v>
      </c>
      <c r="K107">
        <v>6</v>
      </c>
    </row>
    <row r="108" spans="1:11" x14ac:dyDescent="0.2">
      <c r="A108" t="s">
        <v>380</v>
      </c>
      <c r="B108">
        <v>1.4</v>
      </c>
      <c r="C108" t="s">
        <v>381</v>
      </c>
      <c r="D108" t="s">
        <v>382</v>
      </c>
      <c r="E108" t="s">
        <v>12</v>
      </c>
      <c r="F108" t="s">
        <v>13</v>
      </c>
      <c r="G108">
        <v>1</v>
      </c>
      <c r="H108">
        <v>1</v>
      </c>
      <c r="I108" t="s">
        <v>83</v>
      </c>
      <c r="K108">
        <v>1</v>
      </c>
    </row>
    <row r="109" spans="1:11" x14ac:dyDescent="0.2">
      <c r="A109" t="s">
        <v>16</v>
      </c>
      <c r="B109">
        <v>1.25</v>
      </c>
      <c r="C109" t="s">
        <v>17</v>
      </c>
      <c r="E109" t="s">
        <v>12</v>
      </c>
      <c r="F109" t="s">
        <v>13</v>
      </c>
      <c r="G109">
        <v>1</v>
      </c>
      <c r="I109" t="s">
        <v>14</v>
      </c>
      <c r="J109" t="s">
        <v>15</v>
      </c>
      <c r="K109">
        <v>5</v>
      </c>
    </row>
    <row r="110" spans="1:11" x14ac:dyDescent="0.2">
      <c r="A110" t="s">
        <v>27</v>
      </c>
      <c r="B110">
        <v>1.25</v>
      </c>
      <c r="C110" t="s">
        <v>28</v>
      </c>
      <c r="E110" t="s">
        <v>12</v>
      </c>
      <c r="F110" t="s">
        <v>13</v>
      </c>
      <c r="G110">
        <v>1</v>
      </c>
      <c r="I110" t="s">
        <v>14</v>
      </c>
      <c r="J110" t="s">
        <v>15</v>
      </c>
      <c r="K110">
        <v>5</v>
      </c>
    </row>
    <row r="111" spans="1:11" x14ac:dyDescent="0.2">
      <c r="A111" t="s">
        <v>112</v>
      </c>
      <c r="B111">
        <v>1.35</v>
      </c>
      <c r="C111" t="s">
        <v>113</v>
      </c>
      <c r="D111" t="s">
        <v>114</v>
      </c>
      <c r="E111" t="s">
        <v>87</v>
      </c>
      <c r="F111" t="s">
        <v>13</v>
      </c>
      <c r="G111">
        <v>1</v>
      </c>
      <c r="H111">
        <v>21</v>
      </c>
      <c r="I111" t="s">
        <v>83</v>
      </c>
      <c r="K111">
        <v>4</v>
      </c>
    </row>
    <row r="112" spans="1:11" x14ac:dyDescent="0.2">
      <c r="A112" t="s">
        <v>199</v>
      </c>
      <c r="B112">
        <v>1</v>
      </c>
      <c r="C112" t="s">
        <v>200</v>
      </c>
      <c r="D112" t="s">
        <v>201</v>
      </c>
      <c r="E112" t="s">
        <v>12</v>
      </c>
      <c r="F112" t="s">
        <v>13</v>
      </c>
      <c r="G112">
        <v>2</v>
      </c>
      <c r="I112" t="s">
        <v>14</v>
      </c>
      <c r="K112">
        <v>5</v>
      </c>
    </row>
    <row r="113" spans="1:11" x14ac:dyDescent="0.2">
      <c r="A113" t="s">
        <v>347</v>
      </c>
      <c r="B113">
        <v>1</v>
      </c>
      <c r="C113" t="s">
        <v>348</v>
      </c>
      <c r="D113" t="s">
        <v>349</v>
      </c>
      <c r="E113" t="s">
        <v>87</v>
      </c>
      <c r="F113" t="s">
        <v>13</v>
      </c>
      <c r="G113">
        <v>2</v>
      </c>
      <c r="H113">
        <v>33</v>
      </c>
      <c r="I113" t="s">
        <v>223</v>
      </c>
      <c r="K113">
        <v>6</v>
      </c>
    </row>
    <row r="114" spans="1:11" x14ac:dyDescent="0.2">
      <c r="A114" t="s">
        <v>260</v>
      </c>
      <c r="B114">
        <v>1.4</v>
      </c>
      <c r="C114" t="s">
        <v>261</v>
      </c>
      <c r="D114" t="s">
        <v>262</v>
      </c>
      <c r="E114" t="s">
        <v>12</v>
      </c>
      <c r="F114" t="s">
        <v>13</v>
      </c>
      <c r="G114">
        <v>1</v>
      </c>
      <c r="H114">
        <v>47</v>
      </c>
      <c r="I114" t="s">
        <v>223</v>
      </c>
      <c r="K114">
        <v>3</v>
      </c>
    </row>
    <row r="115" spans="1:11" x14ac:dyDescent="0.2">
      <c r="A115" t="s">
        <v>163</v>
      </c>
      <c r="B115">
        <v>1.35</v>
      </c>
      <c r="C115" t="s">
        <v>164</v>
      </c>
      <c r="D115" t="s">
        <v>165</v>
      </c>
      <c r="E115" t="s">
        <v>87</v>
      </c>
      <c r="F115" t="s">
        <v>13</v>
      </c>
      <c r="G115">
        <v>1</v>
      </c>
      <c r="H115">
        <v>33</v>
      </c>
      <c r="I115" t="s">
        <v>83</v>
      </c>
      <c r="K115">
        <v>6</v>
      </c>
    </row>
    <row r="116" spans="1:11" x14ac:dyDescent="0.2">
      <c r="A116" t="s">
        <v>359</v>
      </c>
      <c r="B116">
        <v>1.1499999999999999</v>
      </c>
      <c r="C116" t="s">
        <v>360</v>
      </c>
      <c r="D116" t="s">
        <v>361</v>
      </c>
      <c r="E116" t="s">
        <v>12</v>
      </c>
      <c r="F116" t="s">
        <v>13</v>
      </c>
      <c r="G116">
        <v>1</v>
      </c>
      <c r="H116">
        <v>2</v>
      </c>
      <c r="I116" t="s">
        <v>83</v>
      </c>
      <c r="K116">
        <v>6</v>
      </c>
    </row>
    <row r="117" spans="1:11" x14ac:dyDescent="0.2">
      <c r="A117" t="s">
        <v>263</v>
      </c>
      <c r="B117">
        <v>1.1000000000000001</v>
      </c>
      <c r="C117" t="s">
        <v>264</v>
      </c>
      <c r="D117" t="s">
        <v>265</v>
      </c>
      <c r="E117" t="s">
        <v>12</v>
      </c>
      <c r="F117" t="s">
        <v>13</v>
      </c>
      <c r="G117">
        <v>1</v>
      </c>
      <c r="H117">
        <v>46</v>
      </c>
      <c r="I117" t="s">
        <v>223</v>
      </c>
      <c r="K117">
        <v>2</v>
      </c>
    </row>
    <row r="118" spans="1:11" x14ac:dyDescent="0.2">
      <c r="A118" t="s">
        <v>172</v>
      </c>
      <c r="B118">
        <v>1</v>
      </c>
      <c r="C118" t="s">
        <v>173</v>
      </c>
      <c r="D118" t="s">
        <v>174</v>
      </c>
      <c r="E118" t="s">
        <v>12</v>
      </c>
      <c r="F118" t="s">
        <v>13</v>
      </c>
      <c r="G118">
        <v>2</v>
      </c>
      <c r="I118" t="s">
        <v>14</v>
      </c>
      <c r="K118">
        <v>5</v>
      </c>
    </row>
    <row r="119" spans="1:11" x14ac:dyDescent="0.2">
      <c r="A119" t="s">
        <v>217</v>
      </c>
      <c r="B119">
        <v>1.35</v>
      </c>
      <c r="C119" t="s">
        <v>218</v>
      </c>
      <c r="D119" t="s">
        <v>219</v>
      </c>
      <c r="E119" t="s">
        <v>12</v>
      </c>
      <c r="F119" t="s">
        <v>13</v>
      </c>
      <c r="G119">
        <v>1</v>
      </c>
      <c r="H119">
        <v>3</v>
      </c>
      <c r="I119" t="s">
        <v>83</v>
      </c>
      <c r="K119">
        <v>6</v>
      </c>
    </row>
    <row r="120" spans="1:11" x14ac:dyDescent="0.2">
      <c r="A120" t="s">
        <v>109</v>
      </c>
      <c r="B120">
        <v>1.3</v>
      </c>
      <c r="C120" t="s">
        <v>110</v>
      </c>
      <c r="D120" t="s">
        <v>111</v>
      </c>
      <c r="E120" t="s">
        <v>87</v>
      </c>
      <c r="F120" t="s">
        <v>13</v>
      </c>
      <c r="G120">
        <v>1</v>
      </c>
      <c r="H120">
        <v>18</v>
      </c>
      <c r="I120" t="s">
        <v>83</v>
      </c>
      <c r="K120">
        <v>5</v>
      </c>
    </row>
    <row r="121" spans="1:11" x14ac:dyDescent="0.2">
      <c r="A121" t="s">
        <v>187</v>
      </c>
      <c r="B121">
        <v>1</v>
      </c>
      <c r="C121" t="s">
        <v>188</v>
      </c>
      <c r="D121" t="s">
        <v>189</v>
      </c>
      <c r="E121" t="s">
        <v>12</v>
      </c>
      <c r="F121" t="s">
        <v>13</v>
      </c>
      <c r="G121">
        <v>2</v>
      </c>
      <c r="I121" t="s">
        <v>14</v>
      </c>
      <c r="K121">
        <v>5</v>
      </c>
    </row>
    <row r="122" spans="1:11" x14ac:dyDescent="0.2">
      <c r="A122" t="s">
        <v>208</v>
      </c>
      <c r="B122">
        <v>1</v>
      </c>
      <c r="C122" t="s">
        <v>209</v>
      </c>
      <c r="D122" t="s">
        <v>210</v>
      </c>
      <c r="E122" t="s">
        <v>12</v>
      </c>
      <c r="F122" t="s">
        <v>13</v>
      </c>
      <c r="G122">
        <v>2</v>
      </c>
      <c r="I122" t="s">
        <v>14</v>
      </c>
      <c r="K122">
        <v>5</v>
      </c>
    </row>
    <row r="123" spans="1:11" x14ac:dyDescent="0.2">
      <c r="A123" t="s">
        <v>196</v>
      </c>
      <c r="B123">
        <v>1</v>
      </c>
      <c r="C123" t="s">
        <v>197</v>
      </c>
      <c r="D123" t="s">
        <v>198</v>
      </c>
      <c r="E123" t="s">
        <v>12</v>
      </c>
      <c r="F123" t="s">
        <v>13</v>
      </c>
      <c r="G123">
        <v>2</v>
      </c>
      <c r="I123" t="s">
        <v>14</v>
      </c>
      <c r="K123">
        <v>5</v>
      </c>
    </row>
    <row r="124" spans="1:11" x14ac:dyDescent="0.2">
      <c r="A124" t="s">
        <v>287</v>
      </c>
      <c r="B124">
        <v>1</v>
      </c>
      <c r="C124" t="s">
        <v>288</v>
      </c>
      <c r="D124" t="s">
        <v>289</v>
      </c>
      <c r="E124" t="s">
        <v>87</v>
      </c>
      <c r="F124" t="s">
        <v>13</v>
      </c>
      <c r="G124">
        <v>1</v>
      </c>
      <c r="H124">
        <v>26</v>
      </c>
      <c r="I124" t="s">
        <v>223</v>
      </c>
      <c r="K124">
        <v>5</v>
      </c>
    </row>
    <row r="125" spans="1:11" x14ac:dyDescent="0.2">
      <c r="A125" t="s">
        <v>31</v>
      </c>
      <c r="B125">
        <v>1.25</v>
      </c>
      <c r="C125" t="s">
        <v>32</v>
      </c>
      <c r="E125" t="s">
        <v>12</v>
      </c>
      <c r="F125" t="s">
        <v>13</v>
      </c>
      <c r="G125">
        <v>1</v>
      </c>
      <c r="I125" t="s">
        <v>14</v>
      </c>
      <c r="J125" t="s">
        <v>15</v>
      </c>
      <c r="K125">
        <v>6</v>
      </c>
    </row>
    <row r="126" spans="1:11" x14ac:dyDescent="0.2">
      <c r="A126" t="s">
        <v>353</v>
      </c>
      <c r="B126">
        <v>1</v>
      </c>
      <c r="C126" t="s">
        <v>354</v>
      </c>
      <c r="D126" t="s">
        <v>355</v>
      </c>
      <c r="E126" t="s">
        <v>87</v>
      </c>
      <c r="F126" t="s">
        <v>13</v>
      </c>
      <c r="G126">
        <v>2</v>
      </c>
      <c r="H126">
        <v>29</v>
      </c>
      <c r="I126" t="s">
        <v>223</v>
      </c>
      <c r="K126">
        <v>6</v>
      </c>
    </row>
    <row r="127" spans="1:11" x14ac:dyDescent="0.2">
      <c r="A127" t="s">
        <v>63</v>
      </c>
      <c r="B127">
        <v>1.2</v>
      </c>
      <c r="C127" t="s">
        <v>64</v>
      </c>
      <c r="E127" t="s">
        <v>12</v>
      </c>
      <c r="F127" t="s">
        <v>13</v>
      </c>
      <c r="G127">
        <v>1</v>
      </c>
      <c r="I127" t="s">
        <v>14</v>
      </c>
      <c r="J127" t="s">
        <v>15</v>
      </c>
      <c r="K127">
        <v>6</v>
      </c>
    </row>
    <row r="128" spans="1:11" x14ac:dyDescent="0.2">
      <c r="A128" t="s">
        <v>371</v>
      </c>
      <c r="B128">
        <v>1.3</v>
      </c>
      <c r="C128" t="s">
        <v>372</v>
      </c>
      <c r="D128" t="s">
        <v>373</v>
      </c>
      <c r="E128" t="s">
        <v>12</v>
      </c>
      <c r="F128" t="s">
        <v>13</v>
      </c>
      <c r="G128">
        <v>1</v>
      </c>
      <c r="H128">
        <v>48</v>
      </c>
      <c r="I128" t="s">
        <v>83</v>
      </c>
      <c r="K128">
        <v>3</v>
      </c>
    </row>
    <row r="129" spans="1:11" x14ac:dyDescent="0.2">
      <c r="A129" t="s">
        <v>166</v>
      </c>
      <c r="B129">
        <v>1.25</v>
      </c>
      <c r="C129" t="s">
        <v>167</v>
      </c>
      <c r="D129" t="s">
        <v>168</v>
      </c>
      <c r="E129" t="s">
        <v>87</v>
      </c>
      <c r="F129" t="s">
        <v>13</v>
      </c>
      <c r="G129">
        <v>1</v>
      </c>
      <c r="H129">
        <v>39</v>
      </c>
      <c r="I129" t="s">
        <v>83</v>
      </c>
      <c r="K129">
        <v>5</v>
      </c>
    </row>
    <row r="130" spans="1:11" x14ac:dyDescent="0.2">
      <c r="A130" t="s">
        <v>160</v>
      </c>
      <c r="B130">
        <v>1</v>
      </c>
      <c r="C130" t="s">
        <v>161</v>
      </c>
      <c r="D130" t="s">
        <v>162</v>
      </c>
      <c r="E130" t="s">
        <v>87</v>
      </c>
      <c r="F130" t="s">
        <v>13</v>
      </c>
      <c r="G130">
        <v>2</v>
      </c>
      <c r="H130">
        <v>29</v>
      </c>
      <c r="I130" t="s">
        <v>83</v>
      </c>
      <c r="K130">
        <v>6</v>
      </c>
    </row>
    <row r="131" spans="1:11" x14ac:dyDescent="0.2">
      <c r="A131" t="s">
        <v>88</v>
      </c>
      <c r="B131">
        <v>1.1000000000000001</v>
      </c>
      <c r="C131" t="s">
        <v>89</v>
      </c>
      <c r="D131" t="s">
        <v>90</v>
      </c>
      <c r="E131" t="s">
        <v>87</v>
      </c>
      <c r="F131" t="s">
        <v>13</v>
      </c>
      <c r="G131">
        <v>1</v>
      </c>
      <c r="H131">
        <v>38</v>
      </c>
      <c r="I131" t="s">
        <v>83</v>
      </c>
      <c r="K131">
        <v>5</v>
      </c>
    </row>
    <row r="132" spans="1:11" x14ac:dyDescent="0.2">
      <c r="A132" t="s">
        <v>341</v>
      </c>
      <c r="B132">
        <v>1</v>
      </c>
      <c r="C132" t="s">
        <v>342</v>
      </c>
      <c r="D132" t="s">
        <v>343</v>
      </c>
      <c r="E132" t="s">
        <v>87</v>
      </c>
      <c r="F132" t="s">
        <v>13</v>
      </c>
      <c r="G132">
        <v>1</v>
      </c>
      <c r="H132">
        <v>24</v>
      </c>
      <c r="I132" t="s">
        <v>223</v>
      </c>
      <c r="K132">
        <v>2</v>
      </c>
    </row>
    <row r="133" spans="1:11" x14ac:dyDescent="0.2">
      <c r="A133" t="s">
        <v>266</v>
      </c>
      <c r="B133">
        <v>1.3</v>
      </c>
      <c r="C133" t="s">
        <v>267</v>
      </c>
      <c r="D133" t="s">
        <v>268</v>
      </c>
      <c r="E133" t="s">
        <v>12</v>
      </c>
      <c r="F133" t="s">
        <v>13</v>
      </c>
      <c r="G133">
        <v>1</v>
      </c>
      <c r="H133">
        <v>10</v>
      </c>
      <c r="I133" t="s">
        <v>223</v>
      </c>
      <c r="K133">
        <v>4</v>
      </c>
    </row>
    <row r="134" spans="1:11" x14ac:dyDescent="0.2">
      <c r="A134" t="s">
        <v>175</v>
      </c>
      <c r="B134">
        <v>1</v>
      </c>
      <c r="C134" t="s">
        <v>176</v>
      </c>
      <c r="D134" t="s">
        <v>177</v>
      </c>
      <c r="E134" t="s">
        <v>12</v>
      </c>
      <c r="F134" t="s">
        <v>13</v>
      </c>
      <c r="G134">
        <v>2</v>
      </c>
      <c r="I134" t="s">
        <v>14</v>
      </c>
      <c r="K134">
        <v>6</v>
      </c>
    </row>
    <row r="135" spans="1:11" x14ac:dyDescent="0.2">
      <c r="A135" t="s">
        <v>115</v>
      </c>
      <c r="B135">
        <v>1.1499999999999999</v>
      </c>
      <c r="C135" t="s">
        <v>116</v>
      </c>
      <c r="D135" t="s">
        <v>117</v>
      </c>
      <c r="E135" t="s">
        <v>12</v>
      </c>
      <c r="F135" t="s">
        <v>13</v>
      </c>
      <c r="G135">
        <v>1</v>
      </c>
      <c r="H135">
        <v>28</v>
      </c>
      <c r="I135" t="s">
        <v>83</v>
      </c>
      <c r="K135">
        <v>2</v>
      </c>
    </row>
    <row r="136" spans="1:11" x14ac:dyDescent="0.2">
      <c r="A136" t="s">
        <v>55</v>
      </c>
      <c r="B136">
        <v>1.25</v>
      </c>
      <c r="C136" t="s">
        <v>56</v>
      </c>
      <c r="E136" t="s">
        <v>12</v>
      </c>
      <c r="F136" t="s">
        <v>13</v>
      </c>
      <c r="G136">
        <v>1</v>
      </c>
      <c r="I136" t="s">
        <v>14</v>
      </c>
      <c r="J136" t="s">
        <v>15</v>
      </c>
      <c r="K136">
        <v>6</v>
      </c>
    </row>
    <row r="137" spans="1:11" x14ac:dyDescent="0.2">
      <c r="A137" t="s">
        <v>130</v>
      </c>
      <c r="B137">
        <v>1.25</v>
      </c>
      <c r="C137" t="s">
        <v>131</v>
      </c>
      <c r="D137" t="s">
        <v>132</v>
      </c>
      <c r="E137" t="s">
        <v>87</v>
      </c>
      <c r="F137" t="s">
        <v>13</v>
      </c>
      <c r="G137">
        <v>1</v>
      </c>
      <c r="H137">
        <v>30</v>
      </c>
      <c r="I137" t="s">
        <v>83</v>
      </c>
      <c r="K137">
        <v>6</v>
      </c>
    </row>
  </sheetData>
  <conditionalFormatting sqref="A1:A1048576">
    <cfRule type="duplicateValues" dxfId="24" priority="1"/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D5C57-3730-6046-981F-F13EB13CBF58}">
  <dimension ref="A2:W191"/>
  <sheetViews>
    <sheetView topLeftCell="A91" zoomScale="82" workbookViewId="0">
      <selection activeCell="A144" sqref="A144"/>
    </sheetView>
  </sheetViews>
  <sheetFormatPr baseColWidth="10" defaultRowHeight="16" x14ac:dyDescent="0.2"/>
  <cols>
    <col min="1" max="1" width="15.33203125" style="1" bestFit="1" customWidth="1"/>
    <col min="2" max="2" width="14.83203125" style="1" bestFit="1" customWidth="1"/>
    <col min="3" max="3" width="29.1640625" style="1" customWidth="1"/>
    <col min="4" max="4" width="32.83203125" style="2" customWidth="1"/>
    <col min="5" max="5" width="37.1640625" style="2" bestFit="1" customWidth="1"/>
    <col min="6" max="6" width="45.6640625" style="1" bestFit="1" customWidth="1"/>
    <col min="7" max="7" width="29.5" style="1" customWidth="1"/>
    <col min="8" max="8" width="31.5" style="1" bestFit="1" customWidth="1"/>
    <col min="9" max="9" width="22.6640625" style="1" bestFit="1" customWidth="1"/>
    <col min="10" max="10" width="31.5" style="1" bestFit="1" customWidth="1"/>
    <col min="11" max="11" width="29.83203125" style="1" customWidth="1"/>
    <col min="12" max="12" width="35" style="1" bestFit="1" customWidth="1"/>
    <col min="13" max="13" width="40.1640625" style="1" bestFit="1" customWidth="1"/>
    <col min="14" max="14" width="36.33203125" style="1" bestFit="1" customWidth="1"/>
    <col min="15" max="15" width="10.83203125" style="1"/>
    <col min="16" max="16" width="54.33203125" style="1" bestFit="1" customWidth="1"/>
    <col min="17" max="17" width="55.83203125" style="1" bestFit="1" customWidth="1"/>
    <col min="18" max="19" width="55.83203125" style="1" hidden="1" customWidth="1"/>
    <col min="20" max="20" width="45.1640625" style="1" hidden="1" customWidth="1"/>
    <col min="21" max="21" width="0" style="1" hidden="1" customWidth="1"/>
    <col min="22" max="22" width="31.1640625" style="1" bestFit="1" customWidth="1"/>
    <col min="23" max="23" width="22.1640625" style="1" bestFit="1" customWidth="1"/>
    <col min="24" max="16384" width="10.83203125" style="1"/>
  </cols>
  <sheetData>
    <row r="2" spans="2:19" ht="32" customHeight="1" x14ac:dyDescent="0.2">
      <c r="B2" s="3" t="s">
        <v>0</v>
      </c>
      <c r="C2" s="3" t="s">
        <v>1</v>
      </c>
      <c r="D2" s="3" t="s">
        <v>2</v>
      </c>
      <c r="E2" s="3"/>
      <c r="F2" s="3" t="s">
        <v>4</v>
      </c>
      <c r="G2" s="3" t="s">
        <v>5</v>
      </c>
      <c r="H2" s="3" t="s">
        <v>7</v>
      </c>
      <c r="I2" s="3" t="s">
        <v>8</v>
      </c>
      <c r="J2" s="3" t="s">
        <v>395</v>
      </c>
      <c r="K2" s="4" t="s">
        <v>396</v>
      </c>
      <c r="L2" s="4" t="s">
        <v>397</v>
      </c>
      <c r="M2" s="4" t="s">
        <v>400</v>
      </c>
      <c r="N2" s="4" t="s">
        <v>401</v>
      </c>
      <c r="P2" s="4" t="s">
        <v>402</v>
      </c>
      <c r="Q2" s="4" t="s">
        <v>403</v>
      </c>
      <c r="R2" s="4" t="s">
        <v>404</v>
      </c>
      <c r="S2" s="4" t="s">
        <v>405</v>
      </c>
    </row>
    <row r="3" spans="2:19" ht="34" customHeight="1" x14ac:dyDescent="0.2">
      <c r="B3" s="4" t="s">
        <v>254</v>
      </c>
      <c r="C3" s="4">
        <v>1.25</v>
      </c>
      <c r="D3" s="3" t="s">
        <v>255</v>
      </c>
      <c r="E3" s="3"/>
      <c r="F3" s="4" t="s">
        <v>12</v>
      </c>
      <c r="G3" s="4" t="s">
        <v>13</v>
      </c>
      <c r="H3" s="4">
        <v>1</v>
      </c>
      <c r="I3" s="4" t="s">
        <v>223</v>
      </c>
      <c r="J3" s="4">
        <v>1</v>
      </c>
      <c r="K3" s="4">
        <f>(2-C3)*1000</f>
        <v>750</v>
      </c>
      <c r="L3" s="4">
        <v>0.46</v>
      </c>
      <c r="M3" s="4">
        <f>L3-$L$26</f>
        <v>0.18099999999999999</v>
      </c>
      <c r="N3" s="4">
        <f>M3*40</f>
        <v>7.24</v>
      </c>
      <c r="P3" s="5">
        <f>0.05*5/M3</f>
        <v>1.3812154696132597</v>
      </c>
      <c r="Q3" s="4">
        <f>(0.05*10)/M3</f>
        <v>2.7624309392265194</v>
      </c>
      <c r="R3" s="4">
        <f>(0.05*20)/M3</f>
        <v>5.5248618784530388</v>
      </c>
      <c r="S3" s="4">
        <f>(0.05*30)/M3</f>
        <v>8.2872928176795586</v>
      </c>
    </row>
    <row r="4" spans="2:19" ht="34" customHeight="1" x14ac:dyDescent="0.2">
      <c r="B4" s="4" t="s">
        <v>380</v>
      </c>
      <c r="C4" s="4">
        <v>1.4</v>
      </c>
      <c r="D4" s="3" t="s">
        <v>381</v>
      </c>
      <c r="E4" s="3"/>
      <c r="F4" s="4" t="s">
        <v>12</v>
      </c>
      <c r="G4" s="4" t="s">
        <v>13</v>
      </c>
      <c r="H4" s="4">
        <v>1</v>
      </c>
      <c r="I4" s="4" t="s">
        <v>83</v>
      </c>
      <c r="J4" s="4">
        <v>1</v>
      </c>
      <c r="K4" s="4">
        <f t="shared" ref="K4:K25" si="0">(2-C4)*1000</f>
        <v>600.00000000000011</v>
      </c>
      <c r="L4" s="4">
        <v>0.32</v>
      </c>
      <c r="M4" s="4">
        <f t="shared" ref="M4:M26" si="1">L4-$L$26</f>
        <v>4.0999999999999981E-2</v>
      </c>
      <c r="N4" s="4">
        <f t="shared" ref="N4:N25" si="2">M4*40</f>
        <v>1.6399999999999992</v>
      </c>
      <c r="P4" s="4">
        <f t="shared" ref="P4:P25" si="3">0.05*5/M4</f>
        <v>6.0975609756097588</v>
      </c>
      <c r="Q4" s="4">
        <f t="shared" ref="Q4:Q25" si="4">(0.05*10)/M4</f>
        <v>12.195121951219518</v>
      </c>
      <c r="R4" s="4">
        <f t="shared" ref="R4:R25" si="5">(0.05*20)/M4</f>
        <v>24.390243902439035</v>
      </c>
      <c r="S4" s="4">
        <f t="shared" ref="S4:S25" si="6">(0.05*30)/M4</f>
        <v>36.585365853658551</v>
      </c>
    </row>
    <row r="5" spans="2:19" ht="34" customHeight="1" x14ac:dyDescent="0.2">
      <c r="B5" s="4" t="s">
        <v>365</v>
      </c>
      <c r="C5" s="4">
        <v>1.3</v>
      </c>
      <c r="D5" s="3" t="s">
        <v>366</v>
      </c>
      <c r="E5" s="3"/>
      <c r="F5" s="4" t="s">
        <v>12</v>
      </c>
      <c r="G5" s="4" t="s">
        <v>13</v>
      </c>
      <c r="H5" s="4">
        <v>5</v>
      </c>
      <c r="I5" s="4" t="s">
        <v>83</v>
      </c>
      <c r="J5" s="4">
        <v>1</v>
      </c>
      <c r="K5" s="4">
        <f t="shared" si="0"/>
        <v>700</v>
      </c>
      <c r="L5" s="4">
        <v>0.503</v>
      </c>
      <c r="M5" s="4">
        <f t="shared" si="1"/>
        <v>0.22399999999999998</v>
      </c>
      <c r="N5" s="4">
        <f t="shared" si="2"/>
        <v>8.9599999999999991</v>
      </c>
      <c r="P5" s="5">
        <f t="shared" si="3"/>
        <v>1.1160714285714286</v>
      </c>
      <c r="Q5" s="4">
        <f t="shared" si="4"/>
        <v>2.2321428571428572</v>
      </c>
      <c r="R5" s="4">
        <f t="shared" si="5"/>
        <v>4.4642857142857144</v>
      </c>
      <c r="S5" s="4">
        <f t="shared" si="6"/>
        <v>6.6964285714285721</v>
      </c>
    </row>
    <row r="6" spans="2:19" ht="34" customHeight="1" x14ac:dyDescent="0.2">
      <c r="B6" s="4" t="s">
        <v>269</v>
      </c>
      <c r="C6" s="4">
        <v>1.4</v>
      </c>
      <c r="D6" s="3" t="s">
        <v>270</v>
      </c>
      <c r="E6" s="3"/>
      <c r="F6" s="4" t="s">
        <v>12</v>
      </c>
      <c r="G6" s="4" t="s">
        <v>13</v>
      </c>
      <c r="H6" s="4">
        <v>5</v>
      </c>
      <c r="I6" s="4" t="s">
        <v>223</v>
      </c>
      <c r="J6" s="4">
        <v>1</v>
      </c>
      <c r="K6" s="4">
        <f t="shared" si="0"/>
        <v>600.00000000000011</v>
      </c>
      <c r="L6" s="4">
        <v>0.55500000000000005</v>
      </c>
      <c r="M6" s="4">
        <f t="shared" si="1"/>
        <v>0.27600000000000002</v>
      </c>
      <c r="N6" s="4">
        <f t="shared" si="2"/>
        <v>11.040000000000001</v>
      </c>
      <c r="P6" s="4">
        <f t="shared" si="3"/>
        <v>0.90579710144927528</v>
      </c>
      <c r="Q6" s="5">
        <f t="shared" si="4"/>
        <v>1.8115942028985506</v>
      </c>
      <c r="R6" s="4">
        <f t="shared" si="5"/>
        <v>3.6231884057971011</v>
      </c>
      <c r="S6" s="4">
        <f t="shared" si="6"/>
        <v>5.4347826086956514</v>
      </c>
    </row>
    <row r="7" spans="2:19" ht="34" customHeight="1" x14ac:dyDescent="0.2">
      <c r="B7" s="4" t="s">
        <v>362</v>
      </c>
      <c r="C7" s="4">
        <v>1.2</v>
      </c>
      <c r="D7" s="3" t="s">
        <v>363</v>
      </c>
      <c r="E7" s="3"/>
      <c r="F7" s="4" t="s">
        <v>12</v>
      </c>
      <c r="G7" s="4" t="s">
        <v>13</v>
      </c>
      <c r="H7" s="4">
        <v>12</v>
      </c>
      <c r="I7" s="4" t="s">
        <v>223</v>
      </c>
      <c r="J7" s="4">
        <v>1</v>
      </c>
      <c r="K7" s="4">
        <f t="shared" si="0"/>
        <v>800</v>
      </c>
      <c r="L7" s="4">
        <v>0.74</v>
      </c>
      <c r="M7" s="4">
        <f t="shared" si="1"/>
        <v>0.46099999999999997</v>
      </c>
      <c r="N7" s="4">
        <f t="shared" si="2"/>
        <v>18.439999999999998</v>
      </c>
      <c r="P7" s="4">
        <f t="shared" si="3"/>
        <v>0.54229934924078094</v>
      </c>
      <c r="Q7" s="5">
        <f t="shared" si="4"/>
        <v>1.0845986984815619</v>
      </c>
      <c r="R7" s="4">
        <f t="shared" si="5"/>
        <v>2.1691973969631237</v>
      </c>
      <c r="S7" s="4">
        <f t="shared" si="6"/>
        <v>3.2537960954446858</v>
      </c>
    </row>
    <row r="8" spans="2:19" ht="24" customHeight="1" x14ac:dyDescent="0.2">
      <c r="B8" s="4" t="s">
        <v>37</v>
      </c>
      <c r="C8" s="4">
        <v>1.2</v>
      </c>
      <c r="D8" s="3" t="s">
        <v>38</v>
      </c>
      <c r="E8" s="3"/>
      <c r="F8" s="4" t="s">
        <v>12</v>
      </c>
      <c r="G8" s="4" t="s">
        <v>13</v>
      </c>
      <c r="H8" s="4">
        <v>12</v>
      </c>
      <c r="I8" s="4" t="s">
        <v>22</v>
      </c>
      <c r="J8" s="4">
        <v>1</v>
      </c>
      <c r="K8" s="4">
        <f t="shared" si="0"/>
        <v>800</v>
      </c>
      <c r="L8" s="4">
        <v>0.48099999999999998</v>
      </c>
      <c r="M8" s="4">
        <f t="shared" si="1"/>
        <v>0.20199999999999996</v>
      </c>
      <c r="N8" s="4">
        <f t="shared" si="2"/>
        <v>8.0799999999999983</v>
      </c>
      <c r="P8" s="5">
        <f t="shared" si="3"/>
        <v>1.2376237623762378</v>
      </c>
      <c r="Q8" s="4">
        <f t="shared" si="4"/>
        <v>2.4752475247524757</v>
      </c>
      <c r="R8" s="4">
        <f t="shared" si="5"/>
        <v>4.9504950495049513</v>
      </c>
      <c r="S8" s="4">
        <f t="shared" si="6"/>
        <v>7.425742574257427</v>
      </c>
    </row>
    <row r="9" spans="2:19" ht="34" customHeight="1" x14ac:dyDescent="0.2">
      <c r="B9" s="4" t="s">
        <v>272</v>
      </c>
      <c r="C9" s="4">
        <v>1.4</v>
      </c>
      <c r="D9" s="3" t="s">
        <v>273</v>
      </c>
      <c r="E9" s="3"/>
      <c r="F9" s="4" t="s">
        <v>12</v>
      </c>
      <c r="G9" s="4" t="s">
        <v>13</v>
      </c>
      <c r="H9" s="4">
        <v>13</v>
      </c>
      <c r="I9" s="4" t="s">
        <v>223</v>
      </c>
      <c r="J9" s="4">
        <v>1</v>
      </c>
      <c r="K9" s="4">
        <f t="shared" si="0"/>
        <v>600.00000000000011</v>
      </c>
      <c r="L9" s="4">
        <v>1.1000000000000001</v>
      </c>
      <c r="M9" s="4">
        <f t="shared" si="1"/>
        <v>0.82100000000000006</v>
      </c>
      <c r="N9" s="4">
        <f t="shared" si="2"/>
        <v>32.840000000000003</v>
      </c>
      <c r="P9" s="4">
        <f t="shared" si="3"/>
        <v>0.30450669914738121</v>
      </c>
      <c r="Q9" s="4">
        <f t="shared" si="4"/>
        <v>0.60901339829476242</v>
      </c>
      <c r="R9" s="5">
        <f t="shared" si="5"/>
        <v>1.2180267965895248</v>
      </c>
      <c r="S9" s="4">
        <f t="shared" si="6"/>
        <v>1.8270401948842874</v>
      </c>
    </row>
    <row r="10" spans="2:19" ht="34" customHeight="1" x14ac:dyDescent="0.2">
      <c r="B10" s="4" t="s">
        <v>377</v>
      </c>
      <c r="C10" s="4">
        <v>1.4</v>
      </c>
      <c r="D10" s="3" t="s">
        <v>378</v>
      </c>
      <c r="E10" s="3"/>
      <c r="F10" s="4" t="s">
        <v>12</v>
      </c>
      <c r="G10" s="4" t="s">
        <v>13</v>
      </c>
      <c r="H10" s="4">
        <v>13</v>
      </c>
      <c r="I10" s="4" t="s">
        <v>83</v>
      </c>
      <c r="J10" s="4">
        <v>1</v>
      </c>
      <c r="K10" s="4">
        <f t="shared" si="0"/>
        <v>600.00000000000011</v>
      </c>
      <c r="L10" s="4">
        <v>0.64700000000000002</v>
      </c>
      <c r="M10" s="4">
        <f t="shared" si="1"/>
        <v>0.36799999999999999</v>
      </c>
      <c r="N10" s="4">
        <f t="shared" si="2"/>
        <v>14.719999999999999</v>
      </c>
      <c r="P10" s="4">
        <f t="shared" si="3"/>
        <v>0.67934782608695654</v>
      </c>
      <c r="Q10" s="5">
        <f t="shared" si="4"/>
        <v>1.3586956521739131</v>
      </c>
      <c r="R10" s="4">
        <f t="shared" si="5"/>
        <v>2.7173913043478262</v>
      </c>
      <c r="S10" s="4">
        <f t="shared" si="6"/>
        <v>4.0760869565217392</v>
      </c>
    </row>
    <row r="11" spans="2:19" ht="34" customHeight="1" x14ac:dyDescent="0.2">
      <c r="B11" s="4" t="s">
        <v>296</v>
      </c>
      <c r="C11" s="4">
        <v>1.4</v>
      </c>
      <c r="D11" s="3" t="s">
        <v>297</v>
      </c>
      <c r="E11" s="3"/>
      <c r="F11" s="4" t="s">
        <v>87</v>
      </c>
      <c r="G11" s="4" t="s">
        <v>13</v>
      </c>
      <c r="H11" s="4">
        <v>34</v>
      </c>
      <c r="I11" s="4" t="s">
        <v>223</v>
      </c>
      <c r="J11" s="4">
        <v>1</v>
      </c>
      <c r="K11" s="4">
        <f t="shared" si="0"/>
        <v>600.00000000000011</v>
      </c>
      <c r="L11" s="4">
        <v>0.76</v>
      </c>
      <c r="M11" s="4">
        <f t="shared" si="1"/>
        <v>0.48099999999999998</v>
      </c>
      <c r="N11" s="4">
        <f t="shared" si="2"/>
        <v>19.239999999999998</v>
      </c>
      <c r="P11" s="4">
        <f t="shared" si="3"/>
        <v>0.51975051975051978</v>
      </c>
      <c r="Q11" s="5">
        <f t="shared" si="4"/>
        <v>1.0395010395010396</v>
      </c>
      <c r="R11" s="4">
        <f t="shared" si="5"/>
        <v>2.0790020790020791</v>
      </c>
      <c r="S11" s="4">
        <f t="shared" si="6"/>
        <v>3.1185031185031185</v>
      </c>
    </row>
    <row r="12" spans="2:19" ht="34" customHeight="1" x14ac:dyDescent="0.2">
      <c r="B12" s="4" t="s">
        <v>84</v>
      </c>
      <c r="C12" s="4">
        <v>1.3</v>
      </c>
      <c r="D12" s="3" t="s">
        <v>85</v>
      </c>
      <c r="E12" s="3"/>
      <c r="F12" s="4" t="s">
        <v>87</v>
      </c>
      <c r="G12" s="4" t="s">
        <v>13</v>
      </c>
      <c r="H12" s="4">
        <v>34</v>
      </c>
      <c r="I12" s="4" t="s">
        <v>83</v>
      </c>
      <c r="J12" s="4">
        <v>1</v>
      </c>
      <c r="K12" s="4">
        <f t="shared" si="0"/>
        <v>700</v>
      </c>
      <c r="L12" s="4">
        <v>0.49099999999999999</v>
      </c>
      <c r="M12" s="4">
        <f t="shared" si="1"/>
        <v>0.21199999999999997</v>
      </c>
      <c r="N12" s="4">
        <f t="shared" si="2"/>
        <v>8.4799999999999986</v>
      </c>
      <c r="P12" s="5">
        <f t="shared" si="3"/>
        <v>1.1792452830188682</v>
      </c>
      <c r="Q12" s="4">
        <f t="shared" si="4"/>
        <v>2.3584905660377364</v>
      </c>
      <c r="R12" s="4">
        <f t="shared" si="5"/>
        <v>4.7169811320754729</v>
      </c>
      <c r="S12" s="4">
        <f t="shared" si="6"/>
        <v>7.0754716981132084</v>
      </c>
    </row>
    <row r="13" spans="2:19" ht="34" customHeight="1" x14ac:dyDescent="0.2">
      <c r="B13" s="4" t="s">
        <v>154</v>
      </c>
      <c r="C13" s="4">
        <v>1.1499999999999999</v>
      </c>
      <c r="D13" s="3" t="s">
        <v>155</v>
      </c>
      <c r="E13" s="3"/>
      <c r="F13" s="4" t="s">
        <v>87</v>
      </c>
      <c r="G13" s="4" t="s">
        <v>13</v>
      </c>
      <c r="H13" s="4">
        <v>35</v>
      </c>
      <c r="I13" s="4" t="s">
        <v>83</v>
      </c>
      <c r="J13" s="4">
        <v>1</v>
      </c>
      <c r="K13" s="4">
        <f t="shared" si="0"/>
        <v>850.00000000000011</v>
      </c>
      <c r="L13" s="4">
        <v>0.81299999999999994</v>
      </c>
      <c r="M13" s="4">
        <f t="shared" si="1"/>
        <v>0.53399999999999992</v>
      </c>
      <c r="N13" s="4">
        <f t="shared" si="2"/>
        <v>21.359999999999996</v>
      </c>
      <c r="P13" s="4">
        <f t="shared" si="3"/>
        <v>0.46816479400749073</v>
      </c>
      <c r="Q13" s="4">
        <f t="shared" si="4"/>
        <v>0.93632958801498145</v>
      </c>
      <c r="R13" s="5">
        <f t="shared" si="5"/>
        <v>1.8726591760299629</v>
      </c>
      <c r="S13" s="4">
        <f t="shared" si="6"/>
        <v>2.8089887640449445</v>
      </c>
    </row>
    <row r="14" spans="2:19" ht="34" customHeight="1" x14ac:dyDescent="0.2">
      <c r="B14" s="4" t="s">
        <v>344</v>
      </c>
      <c r="C14" s="4">
        <v>1.25</v>
      </c>
      <c r="D14" s="3" t="s">
        <v>345</v>
      </c>
      <c r="E14" s="3"/>
      <c r="F14" s="4" t="s">
        <v>87</v>
      </c>
      <c r="G14" s="4" t="s">
        <v>13</v>
      </c>
      <c r="H14" s="4">
        <v>35</v>
      </c>
      <c r="I14" s="4" t="s">
        <v>223</v>
      </c>
      <c r="J14" s="4">
        <v>1</v>
      </c>
      <c r="K14" s="4">
        <f t="shared" si="0"/>
        <v>750</v>
      </c>
      <c r="L14" s="4">
        <v>1.28</v>
      </c>
      <c r="M14" s="4">
        <f t="shared" si="1"/>
        <v>1.0009999999999999</v>
      </c>
      <c r="N14" s="4">
        <f t="shared" si="2"/>
        <v>40.039999999999992</v>
      </c>
      <c r="P14" s="4">
        <f t="shared" si="3"/>
        <v>0.24975024975024979</v>
      </c>
      <c r="Q14" s="4">
        <f t="shared" si="4"/>
        <v>0.49950049950049957</v>
      </c>
      <c r="R14" s="5">
        <f t="shared" si="5"/>
        <v>0.99900099900099915</v>
      </c>
      <c r="S14" s="4">
        <f t="shared" si="6"/>
        <v>1.4985014985014986</v>
      </c>
    </row>
    <row r="15" spans="2:19" ht="34" customHeight="1" x14ac:dyDescent="0.2">
      <c r="B15" s="4" t="s">
        <v>124</v>
      </c>
      <c r="C15" s="4">
        <v>1.4</v>
      </c>
      <c r="D15" s="3" t="s">
        <v>125</v>
      </c>
      <c r="E15" s="3"/>
      <c r="F15" s="4" t="s">
        <v>87</v>
      </c>
      <c r="G15" s="4" t="s">
        <v>13</v>
      </c>
      <c r="H15" s="4">
        <v>42</v>
      </c>
      <c r="I15" s="4" t="s">
        <v>83</v>
      </c>
      <c r="J15" s="4">
        <v>1</v>
      </c>
      <c r="K15" s="4">
        <f t="shared" si="0"/>
        <v>600.00000000000011</v>
      </c>
      <c r="L15" s="4">
        <v>0.74</v>
      </c>
      <c r="M15" s="4">
        <f t="shared" si="1"/>
        <v>0.46099999999999997</v>
      </c>
      <c r="N15" s="4">
        <f t="shared" si="2"/>
        <v>18.439999999999998</v>
      </c>
      <c r="P15" s="4">
        <f t="shared" si="3"/>
        <v>0.54229934924078094</v>
      </c>
      <c r="Q15" s="5">
        <f t="shared" si="4"/>
        <v>1.0845986984815619</v>
      </c>
      <c r="R15" s="4">
        <f t="shared" si="5"/>
        <v>2.1691973969631237</v>
      </c>
      <c r="S15" s="4">
        <f t="shared" si="6"/>
        <v>3.2537960954446858</v>
      </c>
    </row>
    <row r="16" spans="2:19" ht="19" customHeight="1" x14ac:dyDescent="0.2">
      <c r="B16" s="4" t="s">
        <v>329</v>
      </c>
      <c r="C16" s="4">
        <v>1</v>
      </c>
      <c r="D16" s="3" t="s">
        <v>330</v>
      </c>
      <c r="E16" s="3"/>
      <c r="F16" s="4" t="s">
        <v>87</v>
      </c>
      <c r="G16" s="4" t="s">
        <v>13</v>
      </c>
      <c r="H16" s="4">
        <v>42</v>
      </c>
      <c r="I16" s="4" t="s">
        <v>223</v>
      </c>
      <c r="J16" s="4">
        <v>1</v>
      </c>
      <c r="K16" s="4">
        <f t="shared" si="0"/>
        <v>1000</v>
      </c>
      <c r="L16" s="4">
        <v>0.52300000000000002</v>
      </c>
      <c r="M16" s="4">
        <f t="shared" si="1"/>
        <v>0.24399999999999999</v>
      </c>
      <c r="N16" s="4">
        <f t="shared" si="2"/>
        <v>9.76</v>
      </c>
      <c r="P16" s="5">
        <f t="shared" si="3"/>
        <v>1.0245901639344261</v>
      </c>
      <c r="Q16" s="4">
        <f t="shared" si="4"/>
        <v>2.0491803278688523</v>
      </c>
      <c r="R16" s="4">
        <f t="shared" si="5"/>
        <v>4.0983606557377046</v>
      </c>
      <c r="S16" s="4">
        <f t="shared" si="6"/>
        <v>6.1475409836065573</v>
      </c>
    </row>
    <row r="17" spans="2:19" ht="34" customHeight="1" x14ac:dyDescent="0.2">
      <c r="B17" s="4" t="s">
        <v>356</v>
      </c>
      <c r="C17" s="4">
        <v>1.3</v>
      </c>
      <c r="D17" s="3" t="s">
        <v>357</v>
      </c>
      <c r="E17" s="3"/>
      <c r="F17" s="4" t="s">
        <v>87</v>
      </c>
      <c r="G17" s="4" t="s">
        <v>13</v>
      </c>
      <c r="H17" s="4">
        <v>43</v>
      </c>
      <c r="I17" s="4" t="s">
        <v>223</v>
      </c>
      <c r="J17" s="4">
        <v>1</v>
      </c>
      <c r="K17" s="4">
        <f t="shared" si="0"/>
        <v>700</v>
      </c>
      <c r="L17" s="4">
        <v>1.61</v>
      </c>
      <c r="M17" s="4">
        <f t="shared" si="1"/>
        <v>1.331</v>
      </c>
      <c r="N17" s="4">
        <f t="shared" si="2"/>
        <v>53.239999999999995</v>
      </c>
      <c r="P17" s="4">
        <f t="shared" si="3"/>
        <v>0.18782870022539444</v>
      </c>
      <c r="Q17" s="4">
        <f t="shared" si="4"/>
        <v>0.37565740045078888</v>
      </c>
      <c r="R17" s="4">
        <f t="shared" si="5"/>
        <v>0.75131480090157776</v>
      </c>
      <c r="S17" s="5">
        <f t="shared" si="6"/>
        <v>1.1269722013523666</v>
      </c>
    </row>
    <row r="18" spans="2:19" ht="34" customHeight="1" x14ac:dyDescent="0.2">
      <c r="B18" s="4" t="s">
        <v>157</v>
      </c>
      <c r="C18" s="4">
        <v>1.2</v>
      </c>
      <c r="D18" s="3" t="s">
        <v>158</v>
      </c>
      <c r="E18" s="3"/>
      <c r="F18" s="4" t="s">
        <v>87</v>
      </c>
      <c r="G18" s="4" t="s">
        <v>13</v>
      </c>
      <c r="H18" s="4">
        <v>43</v>
      </c>
      <c r="I18" s="4" t="s">
        <v>83</v>
      </c>
      <c r="J18" s="4">
        <v>1</v>
      </c>
      <c r="K18" s="4">
        <f t="shared" si="0"/>
        <v>800</v>
      </c>
      <c r="L18" s="4">
        <v>0.77300000000000002</v>
      </c>
      <c r="M18" s="4">
        <f t="shared" si="1"/>
        <v>0.49399999999999999</v>
      </c>
      <c r="N18" s="4">
        <f t="shared" si="2"/>
        <v>19.759999999999998</v>
      </c>
      <c r="P18" s="4">
        <f t="shared" si="3"/>
        <v>0.50607287449392713</v>
      </c>
      <c r="Q18" s="5">
        <f t="shared" si="4"/>
        <v>1.0121457489878543</v>
      </c>
      <c r="R18" s="4">
        <f t="shared" si="5"/>
        <v>2.0242914979757085</v>
      </c>
      <c r="S18" s="4">
        <f t="shared" si="6"/>
        <v>3.0364372469635628</v>
      </c>
    </row>
    <row r="19" spans="2:19" ht="17" customHeight="1" x14ac:dyDescent="0.2">
      <c r="B19" s="4" t="s">
        <v>18</v>
      </c>
      <c r="C19" s="4">
        <v>1.25</v>
      </c>
      <c r="D19" s="3" t="s">
        <v>19</v>
      </c>
      <c r="E19" s="3"/>
      <c r="F19" s="4" t="s">
        <v>12</v>
      </c>
      <c r="G19" s="4" t="s">
        <v>13</v>
      </c>
      <c r="H19" s="4"/>
      <c r="I19" s="4" t="s">
        <v>14</v>
      </c>
      <c r="J19" s="4">
        <v>1</v>
      </c>
      <c r="K19" s="4">
        <f t="shared" si="0"/>
        <v>750</v>
      </c>
      <c r="L19" s="4">
        <v>0.60099999999999998</v>
      </c>
      <c r="M19" s="4">
        <f t="shared" si="1"/>
        <v>0.32199999999999995</v>
      </c>
      <c r="N19" s="4">
        <f t="shared" si="2"/>
        <v>12.879999999999999</v>
      </c>
      <c r="P19" s="4">
        <f t="shared" si="3"/>
        <v>0.77639751552795044</v>
      </c>
      <c r="Q19" s="5">
        <f t="shared" si="4"/>
        <v>1.5527950310559009</v>
      </c>
      <c r="R19" s="4">
        <f t="shared" si="5"/>
        <v>3.1055900621118018</v>
      </c>
      <c r="S19" s="4">
        <f t="shared" si="6"/>
        <v>4.6583850931677029</v>
      </c>
    </row>
    <row r="20" spans="2:19" ht="34" customHeight="1" x14ac:dyDescent="0.2">
      <c r="B20" s="4" t="s">
        <v>211</v>
      </c>
      <c r="C20" s="4">
        <v>1.4</v>
      </c>
      <c r="D20" s="3" t="s">
        <v>212</v>
      </c>
      <c r="E20" s="3"/>
      <c r="F20" s="4" t="s">
        <v>12</v>
      </c>
      <c r="G20" s="4" t="s">
        <v>13</v>
      </c>
      <c r="H20" s="4"/>
      <c r="I20" s="4" t="s">
        <v>14</v>
      </c>
      <c r="J20" s="4">
        <v>1</v>
      </c>
      <c r="K20" s="4">
        <f t="shared" si="0"/>
        <v>600.00000000000011</v>
      </c>
      <c r="L20" s="4">
        <v>0.61599999999999999</v>
      </c>
      <c r="M20" s="4">
        <f t="shared" si="1"/>
        <v>0.33699999999999997</v>
      </c>
      <c r="N20" s="4">
        <f t="shared" si="2"/>
        <v>13.479999999999999</v>
      </c>
      <c r="P20" s="4">
        <f t="shared" si="3"/>
        <v>0.74183976261127604</v>
      </c>
      <c r="Q20" s="5">
        <f t="shared" si="4"/>
        <v>1.4836795252225521</v>
      </c>
      <c r="R20" s="4">
        <f t="shared" si="5"/>
        <v>2.9673590504451042</v>
      </c>
      <c r="S20" s="4">
        <f t="shared" si="6"/>
        <v>4.4510385756676563</v>
      </c>
    </row>
    <row r="21" spans="2:19" ht="19" customHeight="1" x14ac:dyDescent="0.2">
      <c r="B21" s="4" t="s">
        <v>169</v>
      </c>
      <c r="C21" s="4">
        <v>1</v>
      </c>
      <c r="D21" s="3" t="s">
        <v>170</v>
      </c>
      <c r="E21" s="3"/>
      <c r="F21" s="4" t="s">
        <v>12</v>
      </c>
      <c r="G21" s="4" t="s">
        <v>13</v>
      </c>
      <c r="H21" s="4"/>
      <c r="I21" s="4" t="s">
        <v>14</v>
      </c>
      <c r="J21" s="4">
        <v>1</v>
      </c>
      <c r="K21" s="4">
        <f t="shared" si="0"/>
        <v>1000</v>
      </c>
      <c r="L21" s="4">
        <v>0.495</v>
      </c>
      <c r="M21" s="4">
        <f t="shared" si="1"/>
        <v>0.21599999999999997</v>
      </c>
      <c r="N21" s="4">
        <f t="shared" si="2"/>
        <v>8.6399999999999988</v>
      </c>
      <c r="P21" s="5">
        <f t="shared" si="3"/>
        <v>1.1574074074074077</v>
      </c>
      <c r="Q21" s="4">
        <f t="shared" si="4"/>
        <v>2.3148148148148153</v>
      </c>
      <c r="R21" s="4">
        <f t="shared" si="5"/>
        <v>4.6296296296296306</v>
      </c>
      <c r="S21" s="4">
        <f t="shared" si="6"/>
        <v>6.9444444444444455</v>
      </c>
    </row>
    <row r="22" spans="2:19" ht="15" customHeight="1" x14ac:dyDescent="0.2">
      <c r="B22" s="4" t="s">
        <v>49</v>
      </c>
      <c r="C22" s="4">
        <v>1.25</v>
      </c>
      <c r="D22" s="3" t="s">
        <v>50</v>
      </c>
      <c r="E22" s="3"/>
      <c r="F22" s="4" t="s">
        <v>12</v>
      </c>
      <c r="G22" s="4" t="s">
        <v>13</v>
      </c>
      <c r="H22" s="4"/>
      <c r="I22" s="4" t="s">
        <v>14</v>
      </c>
      <c r="J22" s="4">
        <v>1</v>
      </c>
      <c r="K22" s="4">
        <f t="shared" si="0"/>
        <v>750</v>
      </c>
      <c r="L22" s="4">
        <v>0.503</v>
      </c>
      <c r="M22" s="4">
        <f t="shared" si="1"/>
        <v>0.22399999999999998</v>
      </c>
      <c r="N22" s="4">
        <f t="shared" si="2"/>
        <v>8.9599999999999991</v>
      </c>
      <c r="P22" s="5">
        <f t="shared" si="3"/>
        <v>1.1160714285714286</v>
      </c>
      <c r="Q22" s="4">
        <f t="shared" si="4"/>
        <v>2.2321428571428572</v>
      </c>
      <c r="R22" s="4">
        <f t="shared" si="5"/>
        <v>4.4642857142857144</v>
      </c>
      <c r="S22" s="4">
        <f t="shared" si="6"/>
        <v>6.6964285714285721</v>
      </c>
    </row>
    <row r="23" spans="2:19" ht="15" customHeight="1" x14ac:dyDescent="0.2">
      <c r="B23" s="4" t="s">
        <v>35</v>
      </c>
      <c r="C23" s="4">
        <v>1</v>
      </c>
      <c r="D23" s="3" t="s">
        <v>36</v>
      </c>
      <c r="E23" s="3"/>
      <c r="F23" s="4" t="s">
        <v>12</v>
      </c>
      <c r="G23" s="4" t="s">
        <v>13</v>
      </c>
      <c r="H23" s="4"/>
      <c r="I23" s="4" t="s">
        <v>14</v>
      </c>
      <c r="J23" s="4">
        <v>1</v>
      </c>
      <c r="K23" s="4">
        <f t="shared" si="0"/>
        <v>1000</v>
      </c>
      <c r="L23" s="4">
        <v>0.435</v>
      </c>
      <c r="M23" s="4">
        <f t="shared" si="1"/>
        <v>0.15599999999999997</v>
      </c>
      <c r="N23" s="4">
        <f t="shared" si="2"/>
        <v>6.2399999999999984</v>
      </c>
      <c r="P23" s="5">
        <f t="shared" si="3"/>
        <v>1.6025641025641029</v>
      </c>
      <c r="Q23" s="4">
        <f t="shared" si="4"/>
        <v>3.2051282051282057</v>
      </c>
      <c r="R23" s="4">
        <f t="shared" si="5"/>
        <v>6.4102564102564115</v>
      </c>
      <c r="S23" s="4">
        <f t="shared" si="6"/>
        <v>9.6153846153846168</v>
      </c>
    </row>
    <row r="24" spans="2:19" ht="20" customHeight="1" x14ac:dyDescent="0.2">
      <c r="B24" s="4" t="s">
        <v>202</v>
      </c>
      <c r="C24" s="4">
        <v>1</v>
      </c>
      <c r="D24" s="3" t="s">
        <v>203</v>
      </c>
      <c r="E24" s="3"/>
      <c r="F24" s="4" t="s">
        <v>12</v>
      </c>
      <c r="G24" s="4" t="s">
        <v>13</v>
      </c>
      <c r="H24" s="4"/>
      <c r="I24" s="4" t="s">
        <v>14</v>
      </c>
      <c r="J24" s="4">
        <v>1</v>
      </c>
      <c r="K24" s="4">
        <f t="shared" si="0"/>
        <v>1000</v>
      </c>
      <c r="L24" s="4">
        <v>0.66700000000000004</v>
      </c>
      <c r="M24" s="4">
        <f t="shared" si="1"/>
        <v>0.38800000000000001</v>
      </c>
      <c r="N24" s="4">
        <f t="shared" si="2"/>
        <v>15.52</v>
      </c>
      <c r="P24" s="4">
        <f t="shared" si="3"/>
        <v>0.64432989690721643</v>
      </c>
      <c r="Q24" s="5">
        <f t="shared" si="4"/>
        <v>1.2886597938144329</v>
      </c>
      <c r="R24" s="4">
        <f t="shared" si="5"/>
        <v>2.5773195876288657</v>
      </c>
      <c r="S24" s="4">
        <f t="shared" si="6"/>
        <v>3.865979381443299</v>
      </c>
    </row>
    <row r="25" spans="2:19" ht="14" customHeight="1" x14ac:dyDescent="0.2">
      <c r="B25" s="4" t="s">
        <v>41</v>
      </c>
      <c r="C25" s="4">
        <v>1.25</v>
      </c>
      <c r="D25" s="3" t="s">
        <v>42</v>
      </c>
      <c r="E25" s="3"/>
      <c r="F25" s="4" t="s">
        <v>12</v>
      </c>
      <c r="G25" s="4" t="s">
        <v>13</v>
      </c>
      <c r="H25" s="4"/>
      <c r="I25" s="4" t="s">
        <v>14</v>
      </c>
      <c r="J25" s="4">
        <v>1</v>
      </c>
      <c r="K25" s="4">
        <f t="shared" si="0"/>
        <v>750</v>
      </c>
      <c r="L25" s="4">
        <v>0.55500000000000005</v>
      </c>
      <c r="M25" s="4">
        <f t="shared" si="1"/>
        <v>0.27600000000000002</v>
      </c>
      <c r="N25" s="4">
        <f t="shared" si="2"/>
        <v>11.040000000000001</v>
      </c>
      <c r="P25" s="4">
        <f t="shared" si="3"/>
        <v>0.90579710144927528</v>
      </c>
      <c r="Q25" s="5">
        <f t="shared" si="4"/>
        <v>1.8115942028985506</v>
      </c>
      <c r="R25" s="4">
        <f t="shared" si="5"/>
        <v>3.6231884057971011</v>
      </c>
      <c r="S25" s="4">
        <f t="shared" si="6"/>
        <v>5.4347826086956514</v>
      </c>
    </row>
    <row r="26" spans="2:19" x14ac:dyDescent="0.2">
      <c r="B26" s="4" t="s">
        <v>398</v>
      </c>
      <c r="C26" s="4" t="s">
        <v>399</v>
      </c>
      <c r="D26" s="4" t="s">
        <v>399</v>
      </c>
      <c r="E26" s="4"/>
      <c r="F26" s="4" t="s">
        <v>399</v>
      </c>
      <c r="G26" s="4" t="s">
        <v>399</v>
      </c>
      <c r="H26" s="4"/>
      <c r="I26" s="4" t="s">
        <v>399</v>
      </c>
      <c r="J26" s="4">
        <v>1</v>
      </c>
      <c r="K26" s="4">
        <v>2000</v>
      </c>
      <c r="L26" s="4">
        <v>0.27900000000000003</v>
      </c>
      <c r="M26" s="4">
        <f t="shared" si="1"/>
        <v>0</v>
      </c>
      <c r="N26" s="4"/>
      <c r="P26" s="4"/>
      <c r="Q26" s="4"/>
      <c r="R26" s="4"/>
      <c r="S26" s="4"/>
    </row>
    <row r="28" spans="2:19" ht="17" x14ac:dyDescent="0.2">
      <c r="B28" s="3" t="s">
        <v>0</v>
      </c>
      <c r="C28" s="4" t="s">
        <v>426</v>
      </c>
      <c r="D28" s="4" t="s">
        <v>400</v>
      </c>
      <c r="E28" s="4" t="s">
        <v>409</v>
      </c>
      <c r="F28" s="4" t="s">
        <v>406</v>
      </c>
      <c r="G28" s="4"/>
      <c r="H28" s="4" t="s">
        <v>407</v>
      </c>
      <c r="I28" s="4" t="s">
        <v>408</v>
      </c>
    </row>
    <row r="29" spans="2:19" x14ac:dyDescent="0.2">
      <c r="B29" s="4" t="s">
        <v>254</v>
      </c>
      <c r="C29" s="4" t="s">
        <v>427</v>
      </c>
      <c r="D29" s="4">
        <v>0.18099999999999999</v>
      </c>
      <c r="E29" s="4">
        <v>5</v>
      </c>
      <c r="F29" s="4">
        <v>0.05</v>
      </c>
      <c r="G29" s="4"/>
      <c r="H29" s="6">
        <f>0.05*5/D29</f>
        <v>1.3812154696132597</v>
      </c>
      <c r="I29" s="6">
        <f>E29-H29</f>
        <v>3.6187845303867405</v>
      </c>
    </row>
    <row r="30" spans="2:19" x14ac:dyDescent="0.2">
      <c r="B30" s="4" t="s">
        <v>380</v>
      </c>
      <c r="C30" s="4" t="s">
        <v>428</v>
      </c>
      <c r="D30" s="4">
        <v>4.0999999999999981E-2</v>
      </c>
      <c r="E30" s="4">
        <v>4</v>
      </c>
      <c r="F30" s="4">
        <v>4.1000000000000002E-2</v>
      </c>
      <c r="G30" s="4"/>
      <c r="H30" s="6">
        <v>3</v>
      </c>
      <c r="I30" s="4">
        <v>0</v>
      </c>
    </row>
    <row r="31" spans="2:19" x14ac:dyDescent="0.2">
      <c r="B31" s="4" t="s">
        <v>365</v>
      </c>
      <c r="C31" s="4" t="s">
        <v>429</v>
      </c>
      <c r="D31" s="4">
        <v>0.22399999999999998</v>
      </c>
      <c r="E31" s="4">
        <v>5</v>
      </c>
      <c r="F31" s="4">
        <v>0.05</v>
      </c>
      <c r="G31" s="4"/>
      <c r="H31" s="6">
        <v>1.1160714285714286</v>
      </c>
      <c r="I31" s="6">
        <f>E31-H31</f>
        <v>3.8839285714285712</v>
      </c>
    </row>
    <row r="32" spans="2:19" x14ac:dyDescent="0.2">
      <c r="B32" s="4" t="s">
        <v>269</v>
      </c>
      <c r="C32" s="4" t="s">
        <v>430</v>
      </c>
      <c r="D32" s="4">
        <v>0.27600000000000002</v>
      </c>
      <c r="E32" s="4">
        <v>10</v>
      </c>
      <c r="F32" s="4">
        <v>0.05</v>
      </c>
      <c r="G32" s="4"/>
      <c r="H32" s="6">
        <v>1.8115942028985506</v>
      </c>
      <c r="I32" s="6">
        <f t="shared" ref="I32:I51" si="7">E32-H32</f>
        <v>8.1884057971014492</v>
      </c>
    </row>
    <row r="33" spans="2:9" x14ac:dyDescent="0.2">
      <c r="B33" s="4" t="s">
        <v>362</v>
      </c>
      <c r="C33" s="4" t="s">
        <v>431</v>
      </c>
      <c r="D33" s="4">
        <v>0.46099999999999997</v>
      </c>
      <c r="E33" s="4">
        <v>10</v>
      </c>
      <c r="F33" s="4">
        <v>0.05</v>
      </c>
      <c r="G33" s="4"/>
      <c r="H33" s="6">
        <v>1.0845986984815619</v>
      </c>
      <c r="I33" s="6">
        <f t="shared" si="7"/>
        <v>8.9154013015184379</v>
      </c>
    </row>
    <row r="34" spans="2:9" x14ac:dyDescent="0.2">
      <c r="B34" s="4" t="s">
        <v>37</v>
      </c>
      <c r="C34" s="4" t="s">
        <v>438</v>
      </c>
      <c r="D34" s="4">
        <v>0.20199999999999996</v>
      </c>
      <c r="E34" s="4">
        <v>5</v>
      </c>
      <c r="F34" s="4">
        <v>0.05</v>
      </c>
      <c r="G34" s="4"/>
      <c r="H34" s="6">
        <v>1.2376237623762378</v>
      </c>
      <c r="I34" s="6">
        <f t="shared" si="7"/>
        <v>3.7623762376237622</v>
      </c>
    </row>
    <row r="35" spans="2:9" x14ac:dyDescent="0.2">
      <c r="B35" s="4" t="s">
        <v>272</v>
      </c>
      <c r="C35" s="4" t="s">
        <v>432</v>
      </c>
      <c r="D35" s="4">
        <v>0.82100000000000006</v>
      </c>
      <c r="E35" s="4">
        <v>20</v>
      </c>
      <c r="F35" s="4">
        <v>0.05</v>
      </c>
      <c r="G35" s="4"/>
      <c r="H35" s="6">
        <v>1.2180267965895248</v>
      </c>
      <c r="I35" s="6">
        <f t="shared" si="7"/>
        <v>18.781973203410477</v>
      </c>
    </row>
    <row r="36" spans="2:9" x14ac:dyDescent="0.2">
      <c r="B36" s="4" t="s">
        <v>377</v>
      </c>
      <c r="C36" s="4" t="s">
        <v>433</v>
      </c>
      <c r="D36" s="4">
        <v>0.36799999999999999</v>
      </c>
      <c r="E36" s="4">
        <v>10</v>
      </c>
      <c r="F36" s="4">
        <v>0.05</v>
      </c>
      <c r="G36" s="4"/>
      <c r="H36" s="6">
        <v>1.3586956521739131</v>
      </c>
      <c r="I36" s="6">
        <f t="shared" si="7"/>
        <v>8.641304347826086</v>
      </c>
    </row>
    <row r="37" spans="2:9" x14ac:dyDescent="0.2">
      <c r="B37" s="4" t="s">
        <v>296</v>
      </c>
      <c r="C37" s="4" t="s">
        <v>434</v>
      </c>
      <c r="D37" s="4">
        <v>0.48099999999999998</v>
      </c>
      <c r="E37" s="4">
        <v>10</v>
      </c>
      <c r="F37" s="4">
        <v>0.05</v>
      </c>
      <c r="G37" s="4"/>
      <c r="H37" s="6">
        <v>1.0395010395010396</v>
      </c>
      <c r="I37" s="6">
        <f t="shared" si="7"/>
        <v>8.9604989604989598</v>
      </c>
    </row>
    <row r="38" spans="2:9" x14ac:dyDescent="0.2">
      <c r="B38" s="4" t="s">
        <v>84</v>
      </c>
      <c r="C38" s="4" t="s">
        <v>439</v>
      </c>
      <c r="D38" s="4">
        <v>0.21199999999999997</v>
      </c>
      <c r="E38" s="4">
        <v>5</v>
      </c>
      <c r="F38" s="4">
        <v>0.05</v>
      </c>
      <c r="G38" s="4"/>
      <c r="H38" s="6">
        <v>1.1792452830188682</v>
      </c>
      <c r="I38" s="6">
        <f t="shared" si="7"/>
        <v>3.8207547169811318</v>
      </c>
    </row>
    <row r="39" spans="2:9" x14ac:dyDescent="0.2">
      <c r="B39" s="4" t="s">
        <v>154</v>
      </c>
      <c r="C39" s="4" t="s">
        <v>440</v>
      </c>
      <c r="D39" s="4">
        <v>0.53399999999999992</v>
      </c>
      <c r="E39" s="4">
        <v>20</v>
      </c>
      <c r="F39" s="4">
        <v>0.05</v>
      </c>
      <c r="G39" s="4"/>
      <c r="H39" s="6">
        <v>1.8726591760299629</v>
      </c>
      <c r="I39" s="6">
        <f t="shared" si="7"/>
        <v>18.127340823970037</v>
      </c>
    </row>
    <row r="40" spans="2:9" x14ac:dyDescent="0.2">
      <c r="B40" s="4" t="s">
        <v>344</v>
      </c>
      <c r="C40" s="4" t="s">
        <v>435</v>
      </c>
      <c r="D40" s="4">
        <v>1.0009999999999999</v>
      </c>
      <c r="E40" s="4">
        <v>20</v>
      </c>
      <c r="F40" s="4">
        <v>0.05</v>
      </c>
      <c r="G40" s="4"/>
      <c r="H40" s="6">
        <v>0.99900099900099915</v>
      </c>
      <c r="I40" s="6">
        <f t="shared" si="7"/>
        <v>19.000999000999002</v>
      </c>
    </row>
    <row r="41" spans="2:9" x14ac:dyDescent="0.2">
      <c r="B41" s="4" t="s">
        <v>124</v>
      </c>
      <c r="C41" s="4" t="s">
        <v>441</v>
      </c>
      <c r="D41" s="4">
        <v>0.46099999999999997</v>
      </c>
      <c r="E41" s="4">
        <v>10</v>
      </c>
      <c r="F41" s="4">
        <v>0.05</v>
      </c>
      <c r="G41" s="4"/>
      <c r="H41" s="6">
        <v>1.0845986984815619</v>
      </c>
      <c r="I41" s="6">
        <f t="shared" si="7"/>
        <v>8.9154013015184379</v>
      </c>
    </row>
    <row r="42" spans="2:9" x14ac:dyDescent="0.2">
      <c r="B42" s="4" t="s">
        <v>329</v>
      </c>
      <c r="C42" s="4" t="s">
        <v>436</v>
      </c>
      <c r="D42" s="4">
        <v>0.24399999999999999</v>
      </c>
      <c r="E42" s="4">
        <v>5</v>
      </c>
      <c r="F42" s="4">
        <v>0.05</v>
      </c>
      <c r="G42" s="4"/>
      <c r="H42" s="6">
        <v>1.0245901639344261</v>
      </c>
      <c r="I42" s="6">
        <f t="shared" si="7"/>
        <v>3.9754098360655741</v>
      </c>
    </row>
    <row r="43" spans="2:9" x14ac:dyDescent="0.2">
      <c r="B43" s="4" t="s">
        <v>356</v>
      </c>
      <c r="C43" s="4" t="s">
        <v>437</v>
      </c>
      <c r="D43" s="4">
        <v>1.331</v>
      </c>
      <c r="E43" s="4">
        <v>30</v>
      </c>
      <c r="F43" s="4">
        <v>0.05</v>
      </c>
      <c r="G43" s="4"/>
      <c r="H43" s="6">
        <v>1.1269722013523666</v>
      </c>
      <c r="I43" s="6">
        <f t="shared" si="7"/>
        <v>28.873027798647634</v>
      </c>
    </row>
    <row r="44" spans="2:9" x14ac:dyDescent="0.2">
      <c r="B44" s="4" t="s">
        <v>157</v>
      </c>
      <c r="C44" s="4" t="s">
        <v>442</v>
      </c>
      <c r="D44" s="4">
        <v>0.49399999999999999</v>
      </c>
      <c r="E44" s="4">
        <v>10</v>
      </c>
      <c r="F44" s="4">
        <v>0.05</v>
      </c>
      <c r="G44" s="4"/>
      <c r="H44" s="6">
        <v>1.0121457489878543</v>
      </c>
      <c r="I44" s="6">
        <f t="shared" si="7"/>
        <v>8.9878542510121449</v>
      </c>
    </row>
    <row r="45" spans="2:9" x14ac:dyDescent="0.2">
      <c r="B45" s="4" t="s">
        <v>18</v>
      </c>
      <c r="C45" s="4" t="s">
        <v>443</v>
      </c>
      <c r="D45" s="4">
        <v>0.32199999999999995</v>
      </c>
      <c r="E45" s="4">
        <v>10</v>
      </c>
      <c r="F45" s="4">
        <v>0.05</v>
      </c>
      <c r="G45" s="4"/>
      <c r="H45" s="6">
        <v>1.5527950310559009</v>
      </c>
      <c r="I45" s="6">
        <f t="shared" si="7"/>
        <v>8.4472049689440993</v>
      </c>
    </row>
    <row r="46" spans="2:9" x14ac:dyDescent="0.2">
      <c r="B46" s="4" t="s">
        <v>211</v>
      </c>
      <c r="C46" s="4" t="s">
        <v>444</v>
      </c>
      <c r="D46" s="4">
        <v>0.33699999999999997</v>
      </c>
      <c r="E46" s="4">
        <v>10</v>
      </c>
      <c r="F46" s="4">
        <v>0.05</v>
      </c>
      <c r="G46" s="4"/>
      <c r="H46" s="6">
        <v>1.4836795252225521</v>
      </c>
      <c r="I46" s="6">
        <f t="shared" si="7"/>
        <v>8.5163204747774479</v>
      </c>
    </row>
    <row r="47" spans="2:9" x14ac:dyDescent="0.2">
      <c r="B47" s="4" t="s">
        <v>169</v>
      </c>
      <c r="C47" s="4" t="s">
        <v>445</v>
      </c>
      <c r="D47" s="4">
        <v>0.21599999999999997</v>
      </c>
      <c r="E47" s="4">
        <v>5</v>
      </c>
      <c r="F47" s="4">
        <v>0.05</v>
      </c>
      <c r="G47" s="4"/>
      <c r="H47" s="6">
        <v>1.1574074074074077</v>
      </c>
      <c r="I47" s="6">
        <f t="shared" si="7"/>
        <v>3.8425925925925926</v>
      </c>
    </row>
    <row r="48" spans="2:9" x14ac:dyDescent="0.2">
      <c r="B48" s="4" t="s">
        <v>49</v>
      </c>
      <c r="C48" s="4" t="s">
        <v>446</v>
      </c>
      <c r="D48" s="4">
        <v>0.22399999999999998</v>
      </c>
      <c r="E48" s="4">
        <v>5</v>
      </c>
      <c r="F48" s="4">
        <v>0.05</v>
      </c>
      <c r="G48" s="4"/>
      <c r="H48" s="6">
        <v>1.1160714285714286</v>
      </c>
      <c r="I48" s="6">
        <f t="shared" si="7"/>
        <v>3.8839285714285712</v>
      </c>
    </row>
    <row r="49" spans="2:11" x14ac:dyDescent="0.2">
      <c r="B49" s="4" t="s">
        <v>35</v>
      </c>
      <c r="C49" s="4" t="s">
        <v>447</v>
      </c>
      <c r="D49" s="4">
        <v>0.15599999999999997</v>
      </c>
      <c r="E49" s="4">
        <v>5</v>
      </c>
      <c r="F49" s="4">
        <v>0.05</v>
      </c>
      <c r="G49" s="4"/>
      <c r="H49" s="6">
        <v>1.6025641025641029</v>
      </c>
      <c r="I49" s="6">
        <f t="shared" si="7"/>
        <v>3.3974358974358969</v>
      </c>
    </row>
    <row r="50" spans="2:11" x14ac:dyDescent="0.2">
      <c r="B50" s="4" t="s">
        <v>202</v>
      </c>
      <c r="C50" s="4" t="s">
        <v>448</v>
      </c>
      <c r="D50" s="4">
        <v>0.38800000000000001</v>
      </c>
      <c r="E50" s="4">
        <v>10</v>
      </c>
      <c r="F50" s="4">
        <v>0.05</v>
      </c>
      <c r="G50" s="4"/>
      <c r="H50" s="6">
        <v>1.2886597938144329</v>
      </c>
      <c r="I50" s="6">
        <f t="shared" si="7"/>
        <v>8.711340206185568</v>
      </c>
    </row>
    <row r="51" spans="2:11" x14ac:dyDescent="0.2">
      <c r="B51" s="4" t="s">
        <v>41</v>
      </c>
      <c r="C51" s="4" t="s">
        <v>449</v>
      </c>
      <c r="D51" s="4">
        <v>0.27600000000000002</v>
      </c>
      <c r="E51" s="4">
        <v>10</v>
      </c>
      <c r="F51" s="4">
        <v>0.05</v>
      </c>
      <c r="G51" s="4"/>
      <c r="H51" s="6">
        <v>1.8115942028985506</v>
      </c>
      <c r="I51" s="6">
        <f t="shared" si="7"/>
        <v>8.1884057971014492</v>
      </c>
    </row>
    <row r="52" spans="2:11" x14ac:dyDescent="0.2">
      <c r="B52" s="4" t="s">
        <v>398</v>
      </c>
      <c r="C52" s="4" t="s">
        <v>450</v>
      </c>
      <c r="D52" s="4">
        <v>0</v>
      </c>
      <c r="E52" s="4">
        <v>4</v>
      </c>
      <c r="F52" s="4">
        <v>0</v>
      </c>
      <c r="G52" s="4"/>
      <c r="H52" s="4">
        <v>4</v>
      </c>
      <c r="I52" s="4">
        <v>0</v>
      </c>
    </row>
    <row r="54" spans="2:11" ht="17" x14ac:dyDescent="0.2">
      <c r="B54" s="4" t="s">
        <v>410</v>
      </c>
      <c r="C54" s="4" t="s">
        <v>411</v>
      </c>
      <c r="D54" s="3" t="s">
        <v>412</v>
      </c>
      <c r="E54" s="3" t="s">
        <v>413</v>
      </c>
      <c r="F54" s="4" t="s">
        <v>414</v>
      </c>
      <c r="G54" s="4" t="s">
        <v>415</v>
      </c>
      <c r="H54" s="4" t="s">
        <v>416</v>
      </c>
      <c r="I54" s="4" t="s">
        <v>417</v>
      </c>
      <c r="J54" s="4" t="s">
        <v>418</v>
      </c>
      <c r="K54" s="1" t="s">
        <v>419</v>
      </c>
    </row>
    <row r="55" spans="2:11" ht="17" x14ac:dyDescent="0.2">
      <c r="B55" s="4" t="s">
        <v>427</v>
      </c>
      <c r="C55" s="4" t="s">
        <v>425</v>
      </c>
      <c r="D55" s="3" t="s">
        <v>422</v>
      </c>
      <c r="E55" s="3" t="s">
        <v>423</v>
      </c>
      <c r="F55" s="4" t="s">
        <v>424</v>
      </c>
      <c r="G55" s="4" t="s">
        <v>420</v>
      </c>
      <c r="H55" s="4">
        <v>5</v>
      </c>
      <c r="I55" s="4">
        <v>0.05</v>
      </c>
      <c r="J55" s="4" t="s">
        <v>421</v>
      </c>
    </row>
    <row r="56" spans="2:11" ht="17" x14ac:dyDescent="0.2">
      <c r="B56" s="4" t="s">
        <v>428</v>
      </c>
      <c r="C56" s="4" t="s">
        <v>425</v>
      </c>
      <c r="D56" s="3" t="s">
        <v>422</v>
      </c>
      <c r="E56" s="3" t="s">
        <v>423</v>
      </c>
      <c r="F56" s="4" t="s">
        <v>424</v>
      </c>
      <c r="G56" s="4" t="s">
        <v>420</v>
      </c>
      <c r="H56" s="4">
        <v>4</v>
      </c>
      <c r="I56" s="4">
        <v>4.1000000000000002E-2</v>
      </c>
      <c r="J56" s="4" t="s">
        <v>421</v>
      </c>
    </row>
    <row r="57" spans="2:11" ht="17" x14ac:dyDescent="0.2">
      <c r="B57" s="4" t="s">
        <v>429</v>
      </c>
      <c r="C57" s="4" t="s">
        <v>425</v>
      </c>
      <c r="D57" s="3" t="s">
        <v>422</v>
      </c>
      <c r="E57" s="3" t="s">
        <v>423</v>
      </c>
      <c r="F57" s="4" t="s">
        <v>424</v>
      </c>
      <c r="G57" s="4" t="s">
        <v>420</v>
      </c>
      <c r="H57" s="4">
        <v>5</v>
      </c>
      <c r="I57" s="4">
        <v>0.05</v>
      </c>
      <c r="J57" s="4" t="s">
        <v>421</v>
      </c>
    </row>
    <row r="58" spans="2:11" ht="17" x14ac:dyDescent="0.2">
      <c r="B58" s="4" t="s">
        <v>430</v>
      </c>
      <c r="C58" s="4" t="s">
        <v>425</v>
      </c>
      <c r="D58" s="3" t="s">
        <v>422</v>
      </c>
      <c r="E58" s="3" t="s">
        <v>423</v>
      </c>
      <c r="F58" s="4" t="s">
        <v>424</v>
      </c>
      <c r="G58" s="4" t="s">
        <v>420</v>
      </c>
      <c r="H58" s="4">
        <v>10</v>
      </c>
      <c r="I58" s="4">
        <v>0.05</v>
      </c>
      <c r="J58" s="4" t="s">
        <v>421</v>
      </c>
    </row>
    <row r="59" spans="2:11" ht="17" x14ac:dyDescent="0.2">
      <c r="B59" s="4" t="s">
        <v>431</v>
      </c>
      <c r="C59" s="4" t="s">
        <v>425</v>
      </c>
      <c r="D59" s="3" t="s">
        <v>422</v>
      </c>
      <c r="E59" s="3" t="s">
        <v>423</v>
      </c>
      <c r="F59" s="4" t="s">
        <v>424</v>
      </c>
      <c r="G59" s="4" t="s">
        <v>420</v>
      </c>
      <c r="H59" s="4">
        <v>10</v>
      </c>
      <c r="I59" s="4">
        <v>0.05</v>
      </c>
      <c r="J59" s="4" t="s">
        <v>421</v>
      </c>
    </row>
    <row r="60" spans="2:11" ht="17" x14ac:dyDescent="0.2">
      <c r="B60" s="4" t="s">
        <v>438</v>
      </c>
      <c r="C60" s="4" t="s">
        <v>425</v>
      </c>
      <c r="D60" s="3" t="s">
        <v>422</v>
      </c>
      <c r="E60" s="3" t="s">
        <v>423</v>
      </c>
      <c r="F60" s="4" t="s">
        <v>424</v>
      </c>
      <c r="G60" s="4" t="s">
        <v>420</v>
      </c>
      <c r="H60" s="4">
        <v>5</v>
      </c>
      <c r="I60" s="4">
        <v>0.05</v>
      </c>
      <c r="J60" s="4" t="s">
        <v>421</v>
      </c>
    </row>
    <row r="61" spans="2:11" ht="17" x14ac:dyDescent="0.2">
      <c r="B61" s="4" t="s">
        <v>432</v>
      </c>
      <c r="C61" s="4" t="s">
        <v>425</v>
      </c>
      <c r="D61" s="3" t="s">
        <v>422</v>
      </c>
      <c r="E61" s="3" t="s">
        <v>423</v>
      </c>
      <c r="F61" s="4" t="s">
        <v>424</v>
      </c>
      <c r="G61" s="4" t="s">
        <v>420</v>
      </c>
      <c r="H61" s="4">
        <v>20</v>
      </c>
      <c r="I61" s="4">
        <v>0.05</v>
      </c>
      <c r="J61" s="4" t="s">
        <v>421</v>
      </c>
    </row>
    <row r="62" spans="2:11" ht="17" x14ac:dyDescent="0.2">
      <c r="B62" s="4" t="s">
        <v>433</v>
      </c>
      <c r="C62" s="4" t="s">
        <v>425</v>
      </c>
      <c r="D62" s="3" t="s">
        <v>422</v>
      </c>
      <c r="E62" s="3" t="s">
        <v>423</v>
      </c>
      <c r="F62" s="4" t="s">
        <v>424</v>
      </c>
      <c r="G62" s="4" t="s">
        <v>420</v>
      </c>
      <c r="H62" s="4">
        <v>10</v>
      </c>
      <c r="I62" s="4">
        <v>0.05</v>
      </c>
      <c r="J62" s="4" t="s">
        <v>421</v>
      </c>
    </row>
    <row r="63" spans="2:11" ht="17" x14ac:dyDescent="0.2">
      <c r="B63" s="4" t="s">
        <v>434</v>
      </c>
      <c r="C63" s="4" t="s">
        <v>425</v>
      </c>
      <c r="D63" s="3" t="s">
        <v>422</v>
      </c>
      <c r="E63" s="3" t="s">
        <v>423</v>
      </c>
      <c r="F63" s="4" t="s">
        <v>424</v>
      </c>
      <c r="G63" s="4" t="s">
        <v>420</v>
      </c>
      <c r="H63" s="4">
        <v>10</v>
      </c>
      <c r="I63" s="4">
        <v>0.05</v>
      </c>
      <c r="J63" s="4" t="s">
        <v>421</v>
      </c>
    </row>
    <row r="64" spans="2:11" ht="17" x14ac:dyDescent="0.2">
      <c r="B64" s="4" t="s">
        <v>439</v>
      </c>
      <c r="C64" s="4" t="s">
        <v>425</v>
      </c>
      <c r="D64" s="3" t="s">
        <v>422</v>
      </c>
      <c r="E64" s="3" t="s">
        <v>423</v>
      </c>
      <c r="F64" s="4" t="s">
        <v>424</v>
      </c>
      <c r="G64" s="4" t="s">
        <v>420</v>
      </c>
      <c r="H64" s="4">
        <v>5</v>
      </c>
      <c r="I64" s="4">
        <v>0.05</v>
      </c>
      <c r="J64" s="4" t="s">
        <v>421</v>
      </c>
    </row>
    <row r="65" spans="2:10" ht="17" x14ac:dyDescent="0.2">
      <c r="B65" s="4" t="s">
        <v>440</v>
      </c>
      <c r="C65" s="4" t="s">
        <v>425</v>
      </c>
      <c r="D65" s="3" t="s">
        <v>422</v>
      </c>
      <c r="E65" s="3" t="s">
        <v>423</v>
      </c>
      <c r="F65" s="4" t="s">
        <v>424</v>
      </c>
      <c r="G65" s="4" t="s">
        <v>420</v>
      </c>
      <c r="H65" s="4">
        <v>20</v>
      </c>
      <c r="I65" s="4">
        <v>0.05</v>
      </c>
      <c r="J65" s="4" t="s">
        <v>421</v>
      </c>
    </row>
    <row r="66" spans="2:10" ht="17" x14ac:dyDescent="0.2">
      <c r="B66" s="4" t="s">
        <v>435</v>
      </c>
      <c r="C66" s="4" t="s">
        <v>425</v>
      </c>
      <c r="D66" s="3" t="s">
        <v>422</v>
      </c>
      <c r="E66" s="3" t="s">
        <v>423</v>
      </c>
      <c r="F66" s="4" t="s">
        <v>424</v>
      </c>
      <c r="G66" s="4" t="s">
        <v>420</v>
      </c>
      <c r="H66" s="4">
        <v>20</v>
      </c>
      <c r="I66" s="4">
        <v>0.05</v>
      </c>
      <c r="J66" s="4" t="s">
        <v>421</v>
      </c>
    </row>
    <row r="67" spans="2:10" ht="17" x14ac:dyDescent="0.2">
      <c r="B67" s="4" t="s">
        <v>441</v>
      </c>
      <c r="C67" s="4" t="s">
        <v>425</v>
      </c>
      <c r="D67" s="3" t="s">
        <v>422</v>
      </c>
      <c r="E67" s="3" t="s">
        <v>423</v>
      </c>
      <c r="F67" s="4" t="s">
        <v>424</v>
      </c>
      <c r="G67" s="4" t="s">
        <v>420</v>
      </c>
      <c r="H67" s="4">
        <v>10</v>
      </c>
      <c r="I67" s="4">
        <v>0.05</v>
      </c>
      <c r="J67" s="4" t="s">
        <v>421</v>
      </c>
    </row>
    <row r="68" spans="2:10" ht="17" x14ac:dyDescent="0.2">
      <c r="B68" s="4" t="s">
        <v>436</v>
      </c>
      <c r="C68" s="4" t="s">
        <v>425</v>
      </c>
      <c r="D68" s="3" t="s">
        <v>422</v>
      </c>
      <c r="E68" s="3" t="s">
        <v>423</v>
      </c>
      <c r="F68" s="4" t="s">
        <v>424</v>
      </c>
      <c r="G68" s="4" t="s">
        <v>420</v>
      </c>
      <c r="H68" s="4">
        <v>5</v>
      </c>
      <c r="I68" s="4">
        <v>0.05</v>
      </c>
      <c r="J68" s="4" t="s">
        <v>421</v>
      </c>
    </row>
    <row r="69" spans="2:10" ht="17" x14ac:dyDescent="0.2">
      <c r="B69" s="4" t="s">
        <v>437</v>
      </c>
      <c r="C69" s="4" t="s">
        <v>425</v>
      </c>
      <c r="D69" s="3" t="s">
        <v>422</v>
      </c>
      <c r="E69" s="3" t="s">
        <v>423</v>
      </c>
      <c r="F69" s="4" t="s">
        <v>424</v>
      </c>
      <c r="G69" s="4" t="s">
        <v>420</v>
      </c>
      <c r="H69" s="4">
        <v>30</v>
      </c>
      <c r="I69" s="4">
        <v>0.05</v>
      </c>
      <c r="J69" s="4" t="s">
        <v>421</v>
      </c>
    </row>
    <row r="70" spans="2:10" ht="17" x14ac:dyDescent="0.2">
      <c r="B70" s="4" t="s">
        <v>442</v>
      </c>
      <c r="C70" s="4" t="s">
        <v>425</v>
      </c>
      <c r="D70" s="3" t="s">
        <v>422</v>
      </c>
      <c r="E70" s="3" t="s">
        <v>423</v>
      </c>
      <c r="F70" s="4" t="s">
        <v>424</v>
      </c>
      <c r="G70" s="4" t="s">
        <v>420</v>
      </c>
      <c r="H70" s="4">
        <v>10</v>
      </c>
      <c r="I70" s="4">
        <v>0.05</v>
      </c>
      <c r="J70" s="4" t="s">
        <v>421</v>
      </c>
    </row>
    <row r="71" spans="2:10" ht="17" x14ac:dyDescent="0.2">
      <c r="B71" s="4" t="s">
        <v>443</v>
      </c>
      <c r="C71" s="4" t="s">
        <v>425</v>
      </c>
      <c r="D71" s="3" t="s">
        <v>422</v>
      </c>
      <c r="E71" s="3" t="s">
        <v>423</v>
      </c>
      <c r="F71" s="4" t="s">
        <v>424</v>
      </c>
      <c r="G71" s="4" t="s">
        <v>420</v>
      </c>
      <c r="H71" s="4">
        <v>10</v>
      </c>
      <c r="I71" s="4">
        <v>0.05</v>
      </c>
      <c r="J71" s="4" t="s">
        <v>421</v>
      </c>
    </row>
    <row r="72" spans="2:10" ht="17" x14ac:dyDescent="0.2">
      <c r="B72" s="4" t="s">
        <v>444</v>
      </c>
      <c r="C72" s="4" t="s">
        <v>425</v>
      </c>
      <c r="D72" s="3" t="s">
        <v>422</v>
      </c>
      <c r="E72" s="3" t="s">
        <v>423</v>
      </c>
      <c r="F72" s="4" t="s">
        <v>424</v>
      </c>
      <c r="G72" s="4" t="s">
        <v>420</v>
      </c>
      <c r="H72" s="4">
        <v>10</v>
      </c>
      <c r="I72" s="4">
        <v>0.05</v>
      </c>
      <c r="J72" s="4" t="s">
        <v>421</v>
      </c>
    </row>
    <row r="73" spans="2:10" ht="17" x14ac:dyDescent="0.2">
      <c r="B73" s="4" t="s">
        <v>445</v>
      </c>
      <c r="C73" s="4" t="s">
        <v>425</v>
      </c>
      <c r="D73" s="3" t="s">
        <v>422</v>
      </c>
      <c r="E73" s="3" t="s">
        <v>423</v>
      </c>
      <c r="F73" s="4" t="s">
        <v>424</v>
      </c>
      <c r="G73" s="4" t="s">
        <v>420</v>
      </c>
      <c r="H73" s="4">
        <v>5</v>
      </c>
      <c r="I73" s="4">
        <v>0.05</v>
      </c>
      <c r="J73" s="4" t="s">
        <v>421</v>
      </c>
    </row>
    <row r="74" spans="2:10" ht="17" x14ac:dyDescent="0.2">
      <c r="B74" s="4" t="s">
        <v>446</v>
      </c>
      <c r="C74" s="4" t="s">
        <v>425</v>
      </c>
      <c r="D74" s="3" t="s">
        <v>422</v>
      </c>
      <c r="E74" s="3" t="s">
        <v>423</v>
      </c>
      <c r="F74" s="4" t="s">
        <v>424</v>
      </c>
      <c r="G74" s="4" t="s">
        <v>420</v>
      </c>
      <c r="H74" s="4">
        <v>5</v>
      </c>
      <c r="I74" s="4">
        <v>0.05</v>
      </c>
      <c r="J74" s="4" t="s">
        <v>421</v>
      </c>
    </row>
    <row r="75" spans="2:10" ht="17" x14ac:dyDescent="0.2">
      <c r="B75" s="4" t="s">
        <v>447</v>
      </c>
      <c r="C75" s="4" t="s">
        <v>425</v>
      </c>
      <c r="D75" s="3" t="s">
        <v>422</v>
      </c>
      <c r="E75" s="3" t="s">
        <v>423</v>
      </c>
      <c r="F75" s="4" t="s">
        <v>424</v>
      </c>
      <c r="G75" s="4" t="s">
        <v>420</v>
      </c>
      <c r="H75" s="4">
        <v>5</v>
      </c>
      <c r="I75" s="4">
        <v>0.05</v>
      </c>
      <c r="J75" s="4" t="s">
        <v>421</v>
      </c>
    </row>
    <row r="76" spans="2:10" ht="17" x14ac:dyDescent="0.2">
      <c r="B76" s="4" t="s">
        <v>448</v>
      </c>
      <c r="C76" s="4" t="s">
        <v>425</v>
      </c>
      <c r="D76" s="3" t="s">
        <v>422</v>
      </c>
      <c r="E76" s="3" t="s">
        <v>423</v>
      </c>
      <c r="F76" s="4" t="s">
        <v>424</v>
      </c>
      <c r="G76" s="4" t="s">
        <v>420</v>
      </c>
      <c r="H76" s="4">
        <v>10</v>
      </c>
      <c r="I76" s="4">
        <v>0.05</v>
      </c>
      <c r="J76" s="4" t="s">
        <v>421</v>
      </c>
    </row>
    <row r="77" spans="2:10" ht="17" x14ac:dyDescent="0.2">
      <c r="B77" s="4" t="s">
        <v>449</v>
      </c>
      <c r="C77" s="4" t="s">
        <v>425</v>
      </c>
      <c r="D77" s="3" t="s">
        <v>422</v>
      </c>
      <c r="E77" s="3" t="s">
        <v>423</v>
      </c>
      <c r="F77" s="4" t="s">
        <v>424</v>
      </c>
      <c r="G77" s="4" t="s">
        <v>420</v>
      </c>
      <c r="H77" s="4">
        <v>10</v>
      </c>
      <c r="I77" s="4">
        <v>0.05</v>
      </c>
      <c r="J77" s="4" t="s">
        <v>421</v>
      </c>
    </row>
    <row r="78" spans="2:10" ht="17" x14ac:dyDescent="0.2">
      <c r="B78" s="4" t="s">
        <v>450</v>
      </c>
      <c r="C78" s="4" t="s">
        <v>425</v>
      </c>
      <c r="D78" s="3" t="s">
        <v>422</v>
      </c>
      <c r="E78" s="3" t="s">
        <v>423</v>
      </c>
      <c r="F78" s="4" t="s">
        <v>424</v>
      </c>
      <c r="G78" s="4" t="s">
        <v>420</v>
      </c>
      <c r="H78" s="4">
        <v>4</v>
      </c>
      <c r="I78" s="4">
        <v>0</v>
      </c>
      <c r="J78" s="4" t="s">
        <v>421</v>
      </c>
    </row>
    <row r="81" spans="2:3" x14ac:dyDescent="0.2">
      <c r="B81" s="1" t="s">
        <v>451</v>
      </c>
    </row>
    <row r="82" spans="2:3" ht="17" x14ac:dyDescent="0.2">
      <c r="B82" s="3" t="s">
        <v>0</v>
      </c>
      <c r="C82" s="4" t="s">
        <v>426</v>
      </c>
    </row>
    <row r="83" spans="2:3" x14ac:dyDescent="0.2">
      <c r="B83" s="4" t="s">
        <v>254</v>
      </c>
      <c r="C83" s="4" t="s">
        <v>427</v>
      </c>
    </row>
    <row r="84" spans="2:3" x14ac:dyDescent="0.2">
      <c r="B84" s="4" t="s">
        <v>380</v>
      </c>
      <c r="C84" s="4" t="s">
        <v>428</v>
      </c>
    </row>
    <row r="85" spans="2:3" x14ac:dyDescent="0.2">
      <c r="B85" s="4" t="s">
        <v>365</v>
      </c>
      <c r="C85" s="4" t="s">
        <v>429</v>
      </c>
    </row>
    <row r="86" spans="2:3" x14ac:dyDescent="0.2">
      <c r="B86" s="4" t="s">
        <v>269</v>
      </c>
      <c r="C86" s="4" t="s">
        <v>430</v>
      </c>
    </row>
    <row r="87" spans="2:3" x14ac:dyDescent="0.2">
      <c r="B87" s="4" t="s">
        <v>362</v>
      </c>
      <c r="C87" s="4" t="s">
        <v>431</v>
      </c>
    </row>
    <row r="88" spans="2:3" x14ac:dyDescent="0.2">
      <c r="B88" s="4" t="s">
        <v>37</v>
      </c>
      <c r="C88" s="4" t="s">
        <v>438</v>
      </c>
    </row>
    <row r="89" spans="2:3" x14ac:dyDescent="0.2">
      <c r="B89" s="4" t="s">
        <v>272</v>
      </c>
      <c r="C89" s="4" t="s">
        <v>432</v>
      </c>
    </row>
    <row r="90" spans="2:3" x14ac:dyDescent="0.2">
      <c r="B90" s="4" t="s">
        <v>377</v>
      </c>
      <c r="C90" s="4" t="s">
        <v>433</v>
      </c>
    </row>
    <row r="91" spans="2:3" x14ac:dyDescent="0.2">
      <c r="B91" s="4" t="s">
        <v>296</v>
      </c>
      <c r="C91" s="4" t="s">
        <v>434</v>
      </c>
    </row>
    <row r="92" spans="2:3" x14ac:dyDescent="0.2">
      <c r="B92" s="4" t="s">
        <v>84</v>
      </c>
      <c r="C92" s="4" t="s">
        <v>439</v>
      </c>
    </row>
    <row r="93" spans="2:3" x14ac:dyDescent="0.2">
      <c r="B93" s="4" t="s">
        <v>154</v>
      </c>
      <c r="C93" s="4" t="s">
        <v>440</v>
      </c>
    </row>
    <row r="94" spans="2:3" x14ac:dyDescent="0.2">
      <c r="B94" s="4" t="s">
        <v>344</v>
      </c>
      <c r="C94" s="4" t="s">
        <v>435</v>
      </c>
    </row>
    <row r="95" spans="2:3" x14ac:dyDescent="0.2">
      <c r="B95" s="4" t="s">
        <v>124</v>
      </c>
      <c r="C95" s="4" t="s">
        <v>441</v>
      </c>
    </row>
    <row r="96" spans="2:3" x14ac:dyDescent="0.2">
      <c r="B96" s="4" t="s">
        <v>329</v>
      </c>
      <c r="C96" s="4" t="s">
        <v>436</v>
      </c>
    </row>
    <row r="97" spans="1:23" x14ac:dyDescent="0.2">
      <c r="B97" s="4" t="s">
        <v>356</v>
      </c>
      <c r="C97" s="4" t="s">
        <v>437</v>
      </c>
    </row>
    <row r="98" spans="1:23" x14ac:dyDescent="0.2">
      <c r="B98" s="4" t="s">
        <v>157</v>
      </c>
      <c r="C98" s="4" t="s">
        <v>442</v>
      </c>
    </row>
    <row r="99" spans="1:23" x14ac:dyDescent="0.2">
      <c r="B99" s="4" t="s">
        <v>18</v>
      </c>
      <c r="C99" s="4" t="s">
        <v>443</v>
      </c>
    </row>
    <row r="100" spans="1:23" x14ac:dyDescent="0.2">
      <c r="B100" s="4" t="s">
        <v>211</v>
      </c>
      <c r="C100" s="4" t="s">
        <v>444</v>
      </c>
    </row>
    <row r="101" spans="1:23" x14ac:dyDescent="0.2">
      <c r="B101" s="4" t="s">
        <v>169</v>
      </c>
      <c r="C101" s="4" t="s">
        <v>445</v>
      </c>
    </row>
    <row r="102" spans="1:23" x14ac:dyDescent="0.2">
      <c r="B102" s="4" t="s">
        <v>49</v>
      </c>
      <c r="C102" s="4" t="s">
        <v>446</v>
      </c>
    </row>
    <row r="103" spans="1:23" x14ac:dyDescent="0.2">
      <c r="B103" s="4" t="s">
        <v>35</v>
      </c>
      <c r="C103" s="4" t="s">
        <v>447</v>
      </c>
    </row>
    <row r="104" spans="1:23" x14ac:dyDescent="0.2">
      <c r="B104" s="4" t="s">
        <v>202</v>
      </c>
      <c r="C104" s="4" t="s">
        <v>448</v>
      </c>
    </row>
    <row r="105" spans="1:23" x14ac:dyDescent="0.2">
      <c r="B105" s="4" t="s">
        <v>41</v>
      </c>
      <c r="C105" s="4" t="s">
        <v>449</v>
      </c>
    </row>
    <row r="106" spans="1:23" x14ac:dyDescent="0.2">
      <c r="B106" s="4" t="s">
        <v>398</v>
      </c>
      <c r="C106" s="4" t="s">
        <v>450</v>
      </c>
    </row>
    <row r="109" spans="1:23" x14ac:dyDescent="0.2">
      <c r="B109" s="1" t="s">
        <v>457</v>
      </c>
      <c r="P109" s="1" t="s">
        <v>471</v>
      </c>
    </row>
    <row r="110" spans="1:23" ht="17" x14ac:dyDescent="0.2">
      <c r="A110" s="1" t="s">
        <v>458</v>
      </c>
      <c r="B110" s="1" t="s">
        <v>410</v>
      </c>
      <c r="C110" s="1" t="s">
        <v>411</v>
      </c>
      <c r="D110" s="2" t="s">
        <v>412</v>
      </c>
      <c r="E110" s="2" t="s">
        <v>413</v>
      </c>
      <c r="F110" s="1" t="s">
        <v>414</v>
      </c>
      <c r="G110" s="1" t="s">
        <v>415</v>
      </c>
      <c r="H110" s="1" t="s">
        <v>416</v>
      </c>
      <c r="I110" s="1" t="s">
        <v>417</v>
      </c>
      <c r="J110" s="1" t="s">
        <v>418</v>
      </c>
      <c r="K110" s="1" t="s">
        <v>419</v>
      </c>
      <c r="P110" s="3" t="s">
        <v>0</v>
      </c>
      <c r="Q110" s="4" t="s">
        <v>426</v>
      </c>
      <c r="R110" s="4" t="s">
        <v>400</v>
      </c>
      <c r="S110" s="4" t="s">
        <v>409</v>
      </c>
      <c r="T110" s="4" t="s">
        <v>406</v>
      </c>
      <c r="U110" s="4"/>
      <c r="V110" s="4" t="s">
        <v>407</v>
      </c>
      <c r="W110" s="4" t="s">
        <v>408</v>
      </c>
    </row>
    <row r="111" spans="1:23" s="10" customFormat="1" ht="17" x14ac:dyDescent="0.2">
      <c r="A111" s="10">
        <v>1</v>
      </c>
      <c r="B111" s="10" t="s">
        <v>460</v>
      </c>
      <c r="C111" s="10" t="s">
        <v>425</v>
      </c>
      <c r="D111" s="11" t="s">
        <v>422</v>
      </c>
      <c r="E111" s="11" t="s">
        <v>423</v>
      </c>
      <c r="F111" s="10" t="s">
        <v>459</v>
      </c>
      <c r="G111" s="10" t="s">
        <v>420</v>
      </c>
      <c r="H111" s="10">
        <v>3</v>
      </c>
      <c r="I111" s="10">
        <v>0.05</v>
      </c>
      <c r="J111" s="10" t="s">
        <v>421</v>
      </c>
      <c r="P111" s="4" t="s">
        <v>254</v>
      </c>
      <c r="Q111" s="4" t="s">
        <v>427</v>
      </c>
      <c r="R111" s="4">
        <v>0.18099999999999999</v>
      </c>
      <c r="S111" s="4">
        <v>3</v>
      </c>
      <c r="T111" s="4">
        <v>0.05</v>
      </c>
      <c r="U111" s="4"/>
      <c r="V111" s="6">
        <f>0.05*(3)/R111</f>
        <v>0.82872928176795591</v>
      </c>
      <c r="W111" s="6">
        <f>3-V111</f>
        <v>2.1712707182320443</v>
      </c>
    </row>
    <row r="112" spans="1:23" s="10" customFormat="1" ht="17" x14ac:dyDescent="0.2">
      <c r="A112" s="10">
        <v>2</v>
      </c>
      <c r="B112" s="10" t="s">
        <v>461</v>
      </c>
      <c r="C112" s="10" t="s">
        <v>425</v>
      </c>
      <c r="D112" s="11" t="s">
        <v>422</v>
      </c>
      <c r="E112" s="11" t="s">
        <v>423</v>
      </c>
      <c r="F112" s="10" t="s">
        <v>459</v>
      </c>
      <c r="G112" s="10" t="s">
        <v>420</v>
      </c>
      <c r="H112" s="10">
        <v>3</v>
      </c>
      <c r="I112" s="10">
        <v>4.1000000000000002E-2</v>
      </c>
      <c r="J112" s="10" t="s">
        <v>421</v>
      </c>
      <c r="P112" s="4" t="s">
        <v>380</v>
      </c>
      <c r="Q112" s="4" t="s">
        <v>428</v>
      </c>
      <c r="R112" s="4">
        <v>4.0999999999999981E-2</v>
      </c>
      <c r="S112" s="4">
        <v>3</v>
      </c>
      <c r="T112" s="4">
        <v>4.1000000000000002E-2</v>
      </c>
      <c r="U112" s="4"/>
      <c r="V112" s="6">
        <v>3</v>
      </c>
      <c r="W112" s="6">
        <f t="shared" ref="W112:W131" si="8">3-V112</f>
        <v>0</v>
      </c>
    </row>
    <row r="113" spans="1:23" s="10" customFormat="1" ht="17" x14ac:dyDescent="0.2">
      <c r="A113" s="10">
        <v>3</v>
      </c>
      <c r="B113" s="10" t="s">
        <v>462</v>
      </c>
      <c r="C113" s="10" t="s">
        <v>425</v>
      </c>
      <c r="D113" s="11" t="s">
        <v>422</v>
      </c>
      <c r="E113" s="11" t="s">
        <v>423</v>
      </c>
      <c r="F113" s="10" t="s">
        <v>459</v>
      </c>
      <c r="G113" s="10" t="s">
        <v>420</v>
      </c>
      <c r="H113" s="10">
        <v>3</v>
      </c>
      <c r="I113" s="10">
        <v>0.05</v>
      </c>
      <c r="J113" s="10" t="s">
        <v>421</v>
      </c>
      <c r="P113" s="4" t="s">
        <v>365</v>
      </c>
      <c r="Q113" s="4" t="s">
        <v>429</v>
      </c>
      <c r="R113" s="4">
        <v>0.22399999999999998</v>
      </c>
      <c r="S113" s="4">
        <v>3</v>
      </c>
      <c r="T113" s="4">
        <v>0.05</v>
      </c>
      <c r="U113" s="4"/>
      <c r="V113" s="6">
        <f t="shared" ref="V113:V131" si="9">0.05*(3)/R113</f>
        <v>0.66964285714285732</v>
      </c>
      <c r="W113" s="6">
        <f t="shared" si="8"/>
        <v>2.3303571428571428</v>
      </c>
    </row>
    <row r="114" spans="1:23" ht="17" x14ac:dyDescent="0.2">
      <c r="A114" s="1">
        <v>4</v>
      </c>
      <c r="B114" s="1" t="s">
        <v>430</v>
      </c>
      <c r="C114" s="1" t="s">
        <v>425</v>
      </c>
      <c r="D114" s="2" t="s">
        <v>422</v>
      </c>
      <c r="E114" s="2" t="s">
        <v>423</v>
      </c>
      <c r="F114" s="1" t="s">
        <v>459</v>
      </c>
      <c r="G114" s="1" t="s">
        <v>420</v>
      </c>
      <c r="H114" s="1">
        <v>6</v>
      </c>
      <c r="I114" s="1">
        <v>0.05</v>
      </c>
      <c r="J114" s="1" t="s">
        <v>421</v>
      </c>
      <c r="K114" s="1" t="s">
        <v>470</v>
      </c>
      <c r="P114" s="4"/>
      <c r="Q114" s="4"/>
      <c r="R114" s="4"/>
      <c r="S114" s="4"/>
      <c r="T114" s="4"/>
      <c r="U114" s="4"/>
      <c r="V114" s="6"/>
      <c r="W114" s="6"/>
    </row>
    <row r="115" spans="1:23" ht="17" x14ac:dyDescent="0.2">
      <c r="A115" s="1">
        <v>5</v>
      </c>
      <c r="B115" s="1" t="s">
        <v>431</v>
      </c>
      <c r="C115" s="1" t="s">
        <v>425</v>
      </c>
      <c r="D115" s="2" t="s">
        <v>422</v>
      </c>
      <c r="E115" s="2" t="s">
        <v>423</v>
      </c>
      <c r="F115" s="1" t="s">
        <v>459</v>
      </c>
      <c r="G115" s="1" t="s">
        <v>420</v>
      </c>
      <c r="H115" s="1">
        <v>6</v>
      </c>
      <c r="I115" s="1">
        <v>0.05</v>
      </c>
      <c r="J115" s="1" t="s">
        <v>421</v>
      </c>
      <c r="K115" s="1" t="s">
        <v>470</v>
      </c>
      <c r="P115" s="4"/>
      <c r="Q115" s="4"/>
      <c r="R115" s="4"/>
      <c r="S115" s="4"/>
      <c r="T115" s="4"/>
      <c r="U115" s="4"/>
      <c r="V115" s="6"/>
      <c r="W115" s="6"/>
    </row>
    <row r="116" spans="1:23" s="10" customFormat="1" ht="17" x14ac:dyDescent="0.2">
      <c r="A116" s="10">
        <v>6</v>
      </c>
      <c r="B116" s="10" t="s">
        <v>463</v>
      </c>
      <c r="C116" s="10" t="s">
        <v>425</v>
      </c>
      <c r="D116" s="11" t="s">
        <v>422</v>
      </c>
      <c r="E116" s="11" t="s">
        <v>423</v>
      </c>
      <c r="F116" s="10" t="s">
        <v>459</v>
      </c>
      <c r="G116" s="10" t="s">
        <v>420</v>
      </c>
      <c r="H116" s="10">
        <v>3</v>
      </c>
      <c r="I116" s="10">
        <v>0.05</v>
      </c>
      <c r="J116" s="10" t="s">
        <v>421</v>
      </c>
      <c r="P116" s="4" t="s">
        <v>37</v>
      </c>
      <c r="Q116" s="4" t="s">
        <v>438</v>
      </c>
      <c r="R116" s="4">
        <v>0.20199999999999996</v>
      </c>
      <c r="S116" s="4">
        <v>3</v>
      </c>
      <c r="T116" s="4">
        <v>0.05</v>
      </c>
      <c r="U116" s="4"/>
      <c r="V116" s="6">
        <f t="shared" si="9"/>
        <v>0.74257425742574279</v>
      </c>
      <c r="W116" s="6">
        <f t="shared" si="8"/>
        <v>2.2574257425742572</v>
      </c>
    </row>
    <row r="117" spans="1:23" ht="17" x14ac:dyDescent="0.2">
      <c r="A117" s="1">
        <v>7</v>
      </c>
      <c r="B117" s="1" t="s">
        <v>432</v>
      </c>
      <c r="C117" s="1" t="s">
        <v>425</v>
      </c>
      <c r="D117" s="2" t="s">
        <v>422</v>
      </c>
      <c r="E117" s="2" t="s">
        <v>423</v>
      </c>
      <c r="F117" s="1" t="s">
        <v>459</v>
      </c>
      <c r="G117" s="1" t="s">
        <v>420</v>
      </c>
      <c r="H117" s="1">
        <v>26</v>
      </c>
      <c r="I117" s="1">
        <v>0.05</v>
      </c>
      <c r="J117" s="1" t="s">
        <v>421</v>
      </c>
      <c r="K117" s="1" t="s">
        <v>470</v>
      </c>
      <c r="P117" s="4"/>
      <c r="Q117" s="4"/>
      <c r="R117" s="4"/>
      <c r="S117" s="4"/>
      <c r="T117" s="4"/>
      <c r="U117" s="4"/>
      <c r="V117" s="6"/>
      <c r="W117" s="6"/>
    </row>
    <row r="118" spans="1:23" ht="17" x14ac:dyDescent="0.2">
      <c r="A118" s="1">
        <v>8</v>
      </c>
      <c r="B118" s="1" t="s">
        <v>433</v>
      </c>
      <c r="C118" s="1" t="s">
        <v>425</v>
      </c>
      <c r="D118" s="2" t="s">
        <v>422</v>
      </c>
      <c r="E118" s="2" t="s">
        <v>423</v>
      </c>
      <c r="F118" s="1" t="s">
        <v>459</v>
      </c>
      <c r="G118" s="1" t="s">
        <v>420</v>
      </c>
      <c r="H118" s="1">
        <v>6</v>
      </c>
      <c r="I118" s="1">
        <v>0.05</v>
      </c>
      <c r="J118" s="1" t="s">
        <v>421</v>
      </c>
      <c r="K118" s="1" t="s">
        <v>470</v>
      </c>
      <c r="P118" s="4"/>
      <c r="Q118" s="4"/>
      <c r="R118" s="4"/>
      <c r="S118" s="4"/>
      <c r="T118" s="4"/>
      <c r="U118" s="4"/>
      <c r="V118" s="6"/>
      <c r="W118" s="6"/>
    </row>
    <row r="119" spans="1:23" ht="17" x14ac:dyDescent="0.2">
      <c r="A119" s="1">
        <v>9</v>
      </c>
      <c r="B119" s="1" t="s">
        <v>434</v>
      </c>
      <c r="C119" s="1" t="s">
        <v>425</v>
      </c>
      <c r="D119" s="2" t="s">
        <v>422</v>
      </c>
      <c r="E119" s="2" t="s">
        <v>423</v>
      </c>
      <c r="F119" s="1" t="s">
        <v>459</v>
      </c>
      <c r="G119" s="1" t="s">
        <v>420</v>
      </c>
      <c r="H119" s="1">
        <v>6</v>
      </c>
      <c r="I119" s="1">
        <v>0.05</v>
      </c>
      <c r="J119" s="1" t="s">
        <v>421</v>
      </c>
      <c r="K119" s="1" t="s">
        <v>470</v>
      </c>
      <c r="P119" s="4"/>
      <c r="Q119" s="4"/>
      <c r="R119" s="4"/>
      <c r="S119" s="4"/>
      <c r="T119" s="4"/>
      <c r="U119" s="4"/>
      <c r="V119" s="6"/>
      <c r="W119" s="6"/>
    </row>
    <row r="120" spans="1:23" s="10" customFormat="1" ht="17" x14ac:dyDescent="0.2">
      <c r="A120" s="10">
        <v>10</v>
      </c>
      <c r="B120" s="10" t="s">
        <v>464</v>
      </c>
      <c r="C120" s="10" t="s">
        <v>425</v>
      </c>
      <c r="D120" s="11" t="s">
        <v>422</v>
      </c>
      <c r="E120" s="11" t="s">
        <v>423</v>
      </c>
      <c r="F120" s="10" t="s">
        <v>459</v>
      </c>
      <c r="G120" s="10" t="s">
        <v>420</v>
      </c>
      <c r="H120" s="10">
        <v>3</v>
      </c>
      <c r="I120" s="10">
        <v>0.05</v>
      </c>
      <c r="J120" s="10" t="s">
        <v>421</v>
      </c>
      <c r="P120" s="4" t="s">
        <v>84</v>
      </c>
      <c r="Q120" s="4" t="s">
        <v>439</v>
      </c>
      <c r="R120" s="4">
        <v>0.21199999999999997</v>
      </c>
      <c r="S120" s="4">
        <v>3</v>
      </c>
      <c r="T120" s="4">
        <v>0.05</v>
      </c>
      <c r="U120" s="4"/>
      <c r="V120" s="6">
        <f t="shared" si="9"/>
        <v>0.70754716981132093</v>
      </c>
      <c r="W120" s="6">
        <f t="shared" si="8"/>
        <v>2.2924528301886791</v>
      </c>
    </row>
    <row r="121" spans="1:23" ht="17" x14ac:dyDescent="0.2">
      <c r="A121" s="1">
        <v>11</v>
      </c>
      <c r="B121" s="1" t="s">
        <v>440</v>
      </c>
      <c r="C121" s="1" t="s">
        <v>425</v>
      </c>
      <c r="D121" s="2" t="s">
        <v>422</v>
      </c>
      <c r="E121" s="2" t="s">
        <v>423</v>
      </c>
      <c r="F121" s="1" t="s">
        <v>459</v>
      </c>
      <c r="G121" s="1" t="s">
        <v>420</v>
      </c>
      <c r="H121" s="1">
        <v>16</v>
      </c>
      <c r="I121" s="1">
        <v>0.05</v>
      </c>
      <c r="J121" s="1" t="s">
        <v>421</v>
      </c>
      <c r="K121" s="1" t="s">
        <v>470</v>
      </c>
      <c r="P121" s="4"/>
      <c r="Q121" s="4"/>
      <c r="R121" s="4"/>
      <c r="S121" s="4"/>
      <c r="T121" s="4"/>
      <c r="U121" s="4"/>
      <c r="V121" s="6"/>
      <c r="W121" s="6"/>
    </row>
    <row r="122" spans="1:23" ht="17" x14ac:dyDescent="0.2">
      <c r="A122" s="1">
        <v>12</v>
      </c>
      <c r="B122" s="1" t="s">
        <v>435</v>
      </c>
      <c r="C122" s="1" t="s">
        <v>425</v>
      </c>
      <c r="D122" s="2" t="s">
        <v>422</v>
      </c>
      <c r="E122" s="2" t="s">
        <v>423</v>
      </c>
      <c r="F122" s="1" t="s">
        <v>459</v>
      </c>
      <c r="G122" s="1" t="s">
        <v>420</v>
      </c>
      <c r="H122" s="1">
        <v>16</v>
      </c>
      <c r="I122" s="1">
        <v>0.05</v>
      </c>
      <c r="J122" s="1" t="s">
        <v>421</v>
      </c>
      <c r="K122" s="1" t="s">
        <v>470</v>
      </c>
      <c r="P122" s="4"/>
      <c r="Q122" s="4"/>
      <c r="R122" s="4"/>
      <c r="S122" s="4"/>
      <c r="T122" s="4"/>
      <c r="U122" s="4"/>
      <c r="V122" s="6"/>
      <c r="W122" s="6"/>
    </row>
    <row r="123" spans="1:23" ht="17" x14ac:dyDescent="0.2">
      <c r="A123" s="1">
        <v>13</v>
      </c>
      <c r="B123" s="1" t="s">
        <v>441</v>
      </c>
      <c r="C123" s="1" t="s">
        <v>425</v>
      </c>
      <c r="D123" s="2" t="s">
        <v>422</v>
      </c>
      <c r="E123" s="2" t="s">
        <v>423</v>
      </c>
      <c r="F123" s="1" t="s">
        <v>459</v>
      </c>
      <c r="G123" s="1" t="s">
        <v>420</v>
      </c>
      <c r="H123" s="1">
        <v>6</v>
      </c>
      <c r="I123" s="1">
        <v>0.05</v>
      </c>
      <c r="J123" s="1" t="s">
        <v>421</v>
      </c>
      <c r="K123" s="1" t="s">
        <v>470</v>
      </c>
      <c r="P123" s="4"/>
      <c r="Q123" s="4"/>
      <c r="R123" s="4"/>
      <c r="S123" s="4"/>
      <c r="T123" s="4"/>
      <c r="U123" s="4"/>
      <c r="V123" s="6"/>
      <c r="W123" s="6"/>
    </row>
    <row r="124" spans="1:23" s="10" customFormat="1" ht="17" x14ac:dyDescent="0.2">
      <c r="A124" s="10">
        <v>14</v>
      </c>
      <c r="B124" s="10" t="s">
        <v>465</v>
      </c>
      <c r="C124" s="10" t="s">
        <v>425</v>
      </c>
      <c r="D124" s="11" t="s">
        <v>422</v>
      </c>
      <c r="E124" s="11" t="s">
        <v>423</v>
      </c>
      <c r="F124" s="10" t="s">
        <v>459</v>
      </c>
      <c r="G124" s="10" t="s">
        <v>420</v>
      </c>
      <c r="H124" s="10">
        <v>3</v>
      </c>
      <c r="I124" s="10">
        <v>0.05</v>
      </c>
      <c r="J124" s="10" t="s">
        <v>421</v>
      </c>
      <c r="P124" s="4" t="s">
        <v>329</v>
      </c>
      <c r="Q124" s="4" t="s">
        <v>436</v>
      </c>
      <c r="R124" s="4">
        <v>0.24399999999999999</v>
      </c>
      <c r="S124" s="4">
        <v>3</v>
      </c>
      <c r="T124" s="4">
        <v>0.05</v>
      </c>
      <c r="U124" s="4"/>
      <c r="V124" s="6">
        <f t="shared" si="9"/>
        <v>0.61475409836065587</v>
      </c>
      <c r="W124" s="6">
        <f t="shared" si="8"/>
        <v>2.3852459016393439</v>
      </c>
    </row>
    <row r="125" spans="1:23" ht="17" x14ac:dyDescent="0.2">
      <c r="A125" s="1">
        <v>15</v>
      </c>
      <c r="B125" s="1" t="s">
        <v>437</v>
      </c>
      <c r="C125" s="1" t="s">
        <v>425</v>
      </c>
      <c r="D125" s="2" t="s">
        <v>422</v>
      </c>
      <c r="E125" s="2" t="s">
        <v>423</v>
      </c>
      <c r="F125" s="1" t="s">
        <v>459</v>
      </c>
      <c r="G125" s="1" t="s">
        <v>420</v>
      </c>
      <c r="H125" s="1">
        <v>26</v>
      </c>
      <c r="I125" s="1">
        <v>0.05</v>
      </c>
      <c r="J125" s="1" t="s">
        <v>421</v>
      </c>
      <c r="K125" s="1" t="s">
        <v>470</v>
      </c>
      <c r="P125" s="4"/>
      <c r="Q125" s="4"/>
      <c r="R125" s="4"/>
      <c r="S125" s="4"/>
      <c r="T125" s="4"/>
      <c r="U125" s="4"/>
      <c r="V125" s="6"/>
      <c r="W125" s="6"/>
    </row>
    <row r="126" spans="1:23" ht="17" x14ac:dyDescent="0.2">
      <c r="A126" s="1">
        <v>16</v>
      </c>
      <c r="B126" s="1" t="s">
        <v>442</v>
      </c>
      <c r="C126" s="1" t="s">
        <v>425</v>
      </c>
      <c r="D126" s="2" t="s">
        <v>422</v>
      </c>
      <c r="E126" s="2" t="s">
        <v>423</v>
      </c>
      <c r="F126" s="1" t="s">
        <v>459</v>
      </c>
      <c r="G126" s="1" t="s">
        <v>420</v>
      </c>
      <c r="H126" s="1">
        <v>6</v>
      </c>
      <c r="I126" s="1">
        <v>0.05</v>
      </c>
      <c r="J126" s="1" t="s">
        <v>421</v>
      </c>
      <c r="K126" s="1" t="s">
        <v>470</v>
      </c>
      <c r="P126" s="4"/>
      <c r="Q126" s="4"/>
      <c r="R126" s="4"/>
      <c r="S126" s="4"/>
      <c r="T126" s="4"/>
      <c r="U126" s="4"/>
      <c r="V126" s="6"/>
      <c r="W126" s="6"/>
    </row>
    <row r="127" spans="1:23" ht="17" x14ac:dyDescent="0.2">
      <c r="A127" s="1">
        <v>17</v>
      </c>
      <c r="B127" s="1" t="s">
        <v>443</v>
      </c>
      <c r="C127" s="1" t="s">
        <v>425</v>
      </c>
      <c r="D127" s="2" t="s">
        <v>422</v>
      </c>
      <c r="E127" s="2" t="s">
        <v>423</v>
      </c>
      <c r="F127" s="1" t="s">
        <v>459</v>
      </c>
      <c r="G127" s="1" t="s">
        <v>420</v>
      </c>
      <c r="H127" s="1">
        <v>6</v>
      </c>
      <c r="I127" s="1">
        <v>0.05</v>
      </c>
      <c r="J127" s="1" t="s">
        <v>421</v>
      </c>
      <c r="K127" s="1" t="s">
        <v>470</v>
      </c>
      <c r="P127" s="4"/>
      <c r="Q127" s="4"/>
      <c r="R127" s="4"/>
      <c r="S127" s="4"/>
      <c r="T127" s="4"/>
      <c r="U127" s="4"/>
      <c r="V127" s="6"/>
      <c r="W127" s="6"/>
    </row>
    <row r="128" spans="1:23" ht="17" x14ac:dyDescent="0.2">
      <c r="A128" s="1">
        <v>18</v>
      </c>
      <c r="B128" s="1" t="s">
        <v>444</v>
      </c>
      <c r="C128" s="1" t="s">
        <v>425</v>
      </c>
      <c r="D128" s="2" t="s">
        <v>422</v>
      </c>
      <c r="E128" s="2" t="s">
        <v>423</v>
      </c>
      <c r="F128" s="1" t="s">
        <v>459</v>
      </c>
      <c r="G128" s="1" t="s">
        <v>420</v>
      </c>
      <c r="H128" s="1">
        <v>6</v>
      </c>
      <c r="I128" s="1">
        <v>0.05</v>
      </c>
      <c r="J128" s="1" t="s">
        <v>421</v>
      </c>
      <c r="K128" s="1" t="s">
        <v>470</v>
      </c>
      <c r="P128" s="4"/>
      <c r="Q128" s="4"/>
      <c r="R128" s="4"/>
      <c r="S128" s="4"/>
      <c r="T128" s="4"/>
      <c r="U128" s="4"/>
      <c r="V128" s="6"/>
      <c r="W128" s="6"/>
    </row>
    <row r="129" spans="1:23" s="10" customFormat="1" ht="17" x14ac:dyDescent="0.2">
      <c r="A129" s="10">
        <v>19</v>
      </c>
      <c r="B129" s="10" t="s">
        <v>466</v>
      </c>
      <c r="C129" s="10" t="s">
        <v>425</v>
      </c>
      <c r="D129" s="11" t="s">
        <v>422</v>
      </c>
      <c r="E129" s="11" t="s">
        <v>423</v>
      </c>
      <c r="F129" s="10" t="s">
        <v>459</v>
      </c>
      <c r="G129" s="10" t="s">
        <v>420</v>
      </c>
      <c r="H129" s="10">
        <v>3</v>
      </c>
      <c r="I129" s="10">
        <v>0.05</v>
      </c>
      <c r="J129" s="10" t="s">
        <v>421</v>
      </c>
      <c r="P129" s="4" t="s">
        <v>169</v>
      </c>
      <c r="Q129" s="4" t="s">
        <v>445</v>
      </c>
      <c r="R129" s="4">
        <v>0.21599999999999997</v>
      </c>
      <c r="S129" s="4">
        <v>3</v>
      </c>
      <c r="T129" s="4">
        <v>0.05</v>
      </c>
      <c r="U129" s="4"/>
      <c r="V129" s="6">
        <f t="shared" si="9"/>
        <v>0.69444444444444464</v>
      </c>
      <c r="W129" s="6">
        <f t="shared" si="8"/>
        <v>2.3055555555555554</v>
      </c>
    </row>
    <row r="130" spans="1:23" s="10" customFormat="1" ht="17" x14ac:dyDescent="0.2">
      <c r="A130" s="10">
        <v>20</v>
      </c>
      <c r="B130" s="10" t="s">
        <v>467</v>
      </c>
      <c r="C130" s="10" t="s">
        <v>425</v>
      </c>
      <c r="D130" s="11" t="s">
        <v>422</v>
      </c>
      <c r="E130" s="11" t="s">
        <v>423</v>
      </c>
      <c r="F130" s="10" t="s">
        <v>459</v>
      </c>
      <c r="G130" s="10" t="s">
        <v>420</v>
      </c>
      <c r="H130" s="10">
        <v>3</v>
      </c>
      <c r="I130" s="10">
        <v>0.05</v>
      </c>
      <c r="J130" s="10" t="s">
        <v>421</v>
      </c>
      <c r="P130" s="4" t="s">
        <v>49</v>
      </c>
      <c r="Q130" s="4" t="s">
        <v>446</v>
      </c>
      <c r="R130" s="4">
        <v>0.22399999999999998</v>
      </c>
      <c r="S130" s="4">
        <v>3</v>
      </c>
      <c r="T130" s="4">
        <v>0.05</v>
      </c>
      <c r="U130" s="4"/>
      <c r="V130" s="6">
        <f t="shared" si="9"/>
        <v>0.66964285714285732</v>
      </c>
      <c r="W130" s="6">
        <f t="shared" si="8"/>
        <v>2.3303571428571428</v>
      </c>
    </row>
    <row r="131" spans="1:23" s="10" customFormat="1" ht="17" x14ac:dyDescent="0.2">
      <c r="A131" s="10">
        <v>21</v>
      </c>
      <c r="B131" s="10" t="s">
        <v>468</v>
      </c>
      <c r="C131" s="10" t="s">
        <v>425</v>
      </c>
      <c r="D131" s="11" t="s">
        <v>422</v>
      </c>
      <c r="E131" s="11" t="s">
        <v>423</v>
      </c>
      <c r="F131" s="10" t="s">
        <v>459</v>
      </c>
      <c r="G131" s="10" t="s">
        <v>420</v>
      </c>
      <c r="H131" s="10">
        <v>3</v>
      </c>
      <c r="I131" s="10">
        <v>0.05</v>
      </c>
      <c r="J131" s="10" t="s">
        <v>421</v>
      </c>
      <c r="P131" s="4" t="s">
        <v>35</v>
      </c>
      <c r="Q131" s="4" t="s">
        <v>447</v>
      </c>
      <c r="R131" s="4">
        <v>0.15599999999999997</v>
      </c>
      <c r="S131" s="4">
        <v>3</v>
      </c>
      <c r="T131" s="4">
        <v>0.05</v>
      </c>
      <c r="U131" s="4"/>
      <c r="V131" s="6">
        <f t="shared" si="9"/>
        <v>0.9615384615384619</v>
      </c>
      <c r="W131" s="6">
        <f t="shared" si="8"/>
        <v>2.0384615384615383</v>
      </c>
    </row>
    <row r="132" spans="1:23" ht="17" x14ac:dyDescent="0.2">
      <c r="A132" s="1">
        <v>22</v>
      </c>
      <c r="B132" s="1" t="s">
        <v>448</v>
      </c>
      <c r="C132" s="1" t="s">
        <v>425</v>
      </c>
      <c r="D132" s="2" t="s">
        <v>422</v>
      </c>
      <c r="E132" s="2" t="s">
        <v>423</v>
      </c>
      <c r="F132" s="1" t="s">
        <v>459</v>
      </c>
      <c r="G132" s="1" t="s">
        <v>420</v>
      </c>
      <c r="H132" s="1">
        <v>6</v>
      </c>
      <c r="I132" s="1">
        <v>0.05</v>
      </c>
      <c r="J132" s="1" t="s">
        <v>421</v>
      </c>
      <c r="K132" s="1" t="s">
        <v>470</v>
      </c>
      <c r="P132" s="4"/>
      <c r="Q132" s="4"/>
      <c r="R132" s="4"/>
      <c r="S132" s="4"/>
      <c r="T132" s="4"/>
      <c r="U132" s="4"/>
      <c r="V132" s="6"/>
      <c r="W132" s="6"/>
    </row>
    <row r="133" spans="1:23" ht="17" x14ac:dyDescent="0.2">
      <c r="A133" s="1">
        <v>23</v>
      </c>
      <c r="B133" s="1" t="s">
        <v>449</v>
      </c>
      <c r="C133" s="1" t="s">
        <v>425</v>
      </c>
      <c r="D133" s="2" t="s">
        <v>422</v>
      </c>
      <c r="E133" s="2" t="s">
        <v>423</v>
      </c>
      <c r="F133" s="1" t="s">
        <v>459</v>
      </c>
      <c r="G133" s="1" t="s">
        <v>420</v>
      </c>
      <c r="H133" s="1">
        <v>6</v>
      </c>
      <c r="I133" s="1">
        <v>0.05</v>
      </c>
      <c r="J133" s="1" t="s">
        <v>421</v>
      </c>
      <c r="K133" s="1" t="s">
        <v>470</v>
      </c>
      <c r="P133" s="4"/>
      <c r="Q133" s="4"/>
      <c r="R133" s="4"/>
      <c r="S133" s="4"/>
      <c r="T133" s="4"/>
      <c r="U133" s="4"/>
      <c r="V133" s="6"/>
      <c r="W133" s="6"/>
    </row>
    <row r="134" spans="1:23" s="10" customFormat="1" ht="17" x14ac:dyDescent="0.2">
      <c r="A134" s="10">
        <v>24</v>
      </c>
      <c r="B134" s="10" t="s">
        <v>469</v>
      </c>
      <c r="C134" s="10" t="s">
        <v>425</v>
      </c>
      <c r="D134" s="11" t="s">
        <v>422</v>
      </c>
      <c r="E134" s="11" t="s">
        <v>423</v>
      </c>
      <c r="F134" s="10" t="s">
        <v>459</v>
      </c>
      <c r="G134" s="10" t="s">
        <v>420</v>
      </c>
      <c r="H134" s="10">
        <v>3</v>
      </c>
      <c r="I134" s="10">
        <v>0</v>
      </c>
      <c r="J134" s="10" t="s">
        <v>421</v>
      </c>
      <c r="P134" s="4" t="s">
        <v>398</v>
      </c>
      <c r="Q134" s="4" t="s">
        <v>450</v>
      </c>
      <c r="R134" s="4">
        <v>0</v>
      </c>
      <c r="S134" s="4">
        <v>3</v>
      </c>
      <c r="T134" s="4">
        <v>0</v>
      </c>
      <c r="U134" s="4"/>
      <c r="V134" s="6">
        <v>3</v>
      </c>
      <c r="W134" s="6">
        <v>0</v>
      </c>
    </row>
    <row r="138" spans="1:23" x14ac:dyDescent="0.2">
      <c r="B138" s="1" t="s">
        <v>472</v>
      </c>
    </row>
    <row r="139" spans="1:23" ht="17" x14ac:dyDescent="0.2">
      <c r="A139" s="1" t="s">
        <v>496</v>
      </c>
      <c r="B139" s="4" t="s">
        <v>410</v>
      </c>
      <c r="C139" s="12" t="s">
        <v>411</v>
      </c>
      <c r="D139" s="13" t="s">
        <v>412</v>
      </c>
      <c r="E139" s="13" t="s">
        <v>413</v>
      </c>
      <c r="F139" s="12" t="s">
        <v>414</v>
      </c>
      <c r="G139" s="12" t="s">
        <v>415</v>
      </c>
      <c r="H139" s="12" t="s">
        <v>416</v>
      </c>
      <c r="I139" s="12" t="s">
        <v>417</v>
      </c>
      <c r="J139" s="12" t="s">
        <v>418</v>
      </c>
    </row>
    <row r="140" spans="1:23" ht="17" x14ac:dyDescent="0.2">
      <c r="A140" s="4" t="s">
        <v>254</v>
      </c>
      <c r="B140" s="14" t="s">
        <v>473</v>
      </c>
      <c r="C140" s="15" t="s">
        <v>425</v>
      </c>
      <c r="D140" s="16" t="s">
        <v>422</v>
      </c>
      <c r="E140" s="16" t="s">
        <v>423</v>
      </c>
      <c r="F140" s="10" t="s">
        <v>459</v>
      </c>
      <c r="G140" s="15" t="s">
        <v>420</v>
      </c>
      <c r="H140" s="15">
        <v>2</v>
      </c>
      <c r="I140" s="15">
        <v>0.18099999999999999</v>
      </c>
      <c r="J140" s="15" t="s">
        <v>421</v>
      </c>
    </row>
    <row r="141" spans="1:23" ht="17" x14ac:dyDescent="0.2">
      <c r="A141" s="4" t="s">
        <v>380</v>
      </c>
      <c r="B141" s="14" t="s">
        <v>474</v>
      </c>
      <c r="C141" s="15" t="s">
        <v>425</v>
      </c>
      <c r="D141" s="16" t="s">
        <v>422</v>
      </c>
      <c r="E141" s="16" t="s">
        <v>423</v>
      </c>
      <c r="F141" s="10" t="s">
        <v>459</v>
      </c>
      <c r="G141" s="15" t="s">
        <v>420</v>
      </c>
      <c r="H141" s="15">
        <v>2</v>
      </c>
      <c r="I141" s="15">
        <v>4.0999999999999981E-2</v>
      </c>
      <c r="J141" s="15" t="s">
        <v>421</v>
      </c>
    </row>
    <row r="142" spans="1:23" ht="17" x14ac:dyDescent="0.2">
      <c r="A142" s="4" t="s">
        <v>365</v>
      </c>
      <c r="B142" s="14" t="s">
        <v>475</v>
      </c>
      <c r="C142" s="15" t="s">
        <v>425</v>
      </c>
      <c r="D142" s="16" t="s">
        <v>422</v>
      </c>
      <c r="E142" s="16" t="s">
        <v>423</v>
      </c>
      <c r="F142" s="10" t="s">
        <v>459</v>
      </c>
      <c r="G142" s="15" t="s">
        <v>420</v>
      </c>
      <c r="H142" s="15">
        <v>2</v>
      </c>
      <c r="I142" s="15">
        <v>0.22399999999999998</v>
      </c>
      <c r="J142" s="15" t="s">
        <v>421</v>
      </c>
    </row>
    <row r="143" spans="1:23" ht="17" x14ac:dyDescent="0.2">
      <c r="A143" s="4" t="s">
        <v>269</v>
      </c>
      <c r="B143" s="14" t="s">
        <v>476</v>
      </c>
      <c r="C143" s="15" t="s">
        <v>425</v>
      </c>
      <c r="D143" s="16" t="s">
        <v>422</v>
      </c>
      <c r="E143" s="16" t="s">
        <v>423</v>
      </c>
      <c r="F143" s="10" t="s">
        <v>459</v>
      </c>
      <c r="G143" s="15" t="s">
        <v>420</v>
      </c>
      <c r="H143" s="15">
        <v>2</v>
      </c>
      <c r="I143" s="15">
        <v>0.27600000000000002</v>
      </c>
      <c r="J143" s="15" t="s">
        <v>421</v>
      </c>
    </row>
    <row r="144" spans="1:23" ht="17" x14ac:dyDescent="0.2">
      <c r="A144" s="4" t="s">
        <v>362</v>
      </c>
      <c r="B144" s="14" t="s">
        <v>477</v>
      </c>
      <c r="C144" s="15" t="s">
        <v>425</v>
      </c>
      <c r="D144" s="16" t="s">
        <v>422</v>
      </c>
      <c r="E144" s="16" t="s">
        <v>423</v>
      </c>
      <c r="F144" s="10" t="s">
        <v>459</v>
      </c>
      <c r="G144" s="15" t="s">
        <v>420</v>
      </c>
      <c r="H144" s="15">
        <v>2</v>
      </c>
      <c r="I144" s="15">
        <v>0.46099999999999997</v>
      </c>
      <c r="J144" s="15" t="s">
        <v>421</v>
      </c>
    </row>
    <row r="145" spans="1:10" ht="17" x14ac:dyDescent="0.2">
      <c r="A145" s="4" t="s">
        <v>37</v>
      </c>
      <c r="B145" s="14" t="s">
        <v>484</v>
      </c>
      <c r="C145" s="15" t="s">
        <v>425</v>
      </c>
      <c r="D145" s="16" t="s">
        <v>422</v>
      </c>
      <c r="E145" s="16" t="s">
        <v>423</v>
      </c>
      <c r="F145" s="10" t="s">
        <v>459</v>
      </c>
      <c r="G145" s="15" t="s">
        <v>420</v>
      </c>
      <c r="H145" s="15">
        <v>2</v>
      </c>
      <c r="I145" s="15">
        <v>0.20199999999999996</v>
      </c>
      <c r="J145" s="15" t="s">
        <v>421</v>
      </c>
    </row>
    <row r="146" spans="1:10" ht="17" x14ac:dyDescent="0.2">
      <c r="A146" s="4" t="s">
        <v>272</v>
      </c>
      <c r="B146" s="14" t="s">
        <v>478</v>
      </c>
      <c r="C146" s="15" t="s">
        <v>425</v>
      </c>
      <c r="D146" s="16" t="s">
        <v>422</v>
      </c>
      <c r="E146" s="16" t="s">
        <v>423</v>
      </c>
      <c r="F146" s="10" t="s">
        <v>459</v>
      </c>
      <c r="G146" s="15" t="s">
        <v>420</v>
      </c>
      <c r="H146" s="15">
        <v>2</v>
      </c>
      <c r="I146" s="15">
        <v>0.82100000000000006</v>
      </c>
      <c r="J146" s="15" t="s">
        <v>421</v>
      </c>
    </row>
    <row r="147" spans="1:10" ht="17" x14ac:dyDescent="0.2">
      <c r="A147" s="4" t="s">
        <v>377</v>
      </c>
      <c r="B147" s="14" t="s">
        <v>479</v>
      </c>
      <c r="C147" s="15" t="s">
        <v>425</v>
      </c>
      <c r="D147" s="16" t="s">
        <v>422</v>
      </c>
      <c r="E147" s="16" t="s">
        <v>423</v>
      </c>
      <c r="F147" s="10" t="s">
        <v>459</v>
      </c>
      <c r="G147" s="15" t="s">
        <v>420</v>
      </c>
      <c r="H147" s="15">
        <v>2</v>
      </c>
      <c r="I147" s="15">
        <v>0.36799999999999999</v>
      </c>
      <c r="J147" s="15" t="s">
        <v>421</v>
      </c>
    </row>
    <row r="148" spans="1:10" ht="17" x14ac:dyDescent="0.2">
      <c r="A148" s="4" t="s">
        <v>296</v>
      </c>
      <c r="B148" s="14" t="s">
        <v>480</v>
      </c>
      <c r="C148" s="15" t="s">
        <v>425</v>
      </c>
      <c r="D148" s="16" t="s">
        <v>422</v>
      </c>
      <c r="E148" s="16" t="s">
        <v>423</v>
      </c>
      <c r="F148" s="10" t="s">
        <v>459</v>
      </c>
      <c r="G148" s="15" t="s">
        <v>420</v>
      </c>
      <c r="H148" s="15">
        <v>2</v>
      </c>
      <c r="I148" s="15">
        <v>0.48099999999999998</v>
      </c>
      <c r="J148" s="15" t="s">
        <v>421</v>
      </c>
    </row>
    <row r="149" spans="1:10" ht="17" x14ac:dyDescent="0.2">
      <c r="A149" s="4" t="s">
        <v>84</v>
      </c>
      <c r="B149" s="14" t="s">
        <v>485</v>
      </c>
      <c r="C149" s="15" t="s">
        <v>425</v>
      </c>
      <c r="D149" s="16" t="s">
        <v>422</v>
      </c>
      <c r="E149" s="16" t="s">
        <v>423</v>
      </c>
      <c r="F149" s="10" t="s">
        <v>459</v>
      </c>
      <c r="G149" s="15" t="s">
        <v>420</v>
      </c>
      <c r="H149" s="15">
        <v>2</v>
      </c>
      <c r="I149" s="15">
        <v>0.21199999999999997</v>
      </c>
      <c r="J149" s="15" t="s">
        <v>421</v>
      </c>
    </row>
    <row r="150" spans="1:10" ht="17" x14ac:dyDescent="0.2">
      <c r="A150" s="4" t="s">
        <v>154</v>
      </c>
      <c r="B150" s="14" t="s">
        <v>486</v>
      </c>
      <c r="C150" s="15" t="s">
        <v>425</v>
      </c>
      <c r="D150" s="16" t="s">
        <v>422</v>
      </c>
      <c r="E150" s="16" t="s">
        <v>423</v>
      </c>
      <c r="F150" s="10" t="s">
        <v>459</v>
      </c>
      <c r="G150" s="15" t="s">
        <v>420</v>
      </c>
      <c r="H150" s="15">
        <v>2</v>
      </c>
      <c r="I150" s="15">
        <v>0.53399999999999992</v>
      </c>
      <c r="J150" s="15" t="s">
        <v>421</v>
      </c>
    </row>
    <row r="151" spans="1:10" ht="17" x14ac:dyDescent="0.2">
      <c r="A151" s="4" t="s">
        <v>344</v>
      </c>
      <c r="B151" s="14" t="s">
        <v>481</v>
      </c>
      <c r="C151" s="15" t="s">
        <v>425</v>
      </c>
      <c r="D151" s="16" t="s">
        <v>422</v>
      </c>
      <c r="E151" s="16" t="s">
        <v>423</v>
      </c>
      <c r="F151" s="10" t="s">
        <v>459</v>
      </c>
      <c r="G151" s="15" t="s">
        <v>420</v>
      </c>
      <c r="H151" s="15">
        <v>2</v>
      </c>
      <c r="I151" s="15">
        <v>1.0009999999999999</v>
      </c>
      <c r="J151" s="15" t="s">
        <v>421</v>
      </c>
    </row>
    <row r="152" spans="1:10" ht="17" x14ac:dyDescent="0.2">
      <c r="A152" s="4" t="s">
        <v>124</v>
      </c>
      <c r="B152" s="14" t="s">
        <v>487</v>
      </c>
      <c r="C152" s="15" t="s">
        <v>425</v>
      </c>
      <c r="D152" s="16" t="s">
        <v>422</v>
      </c>
      <c r="E152" s="16" t="s">
        <v>423</v>
      </c>
      <c r="F152" s="10" t="s">
        <v>459</v>
      </c>
      <c r="G152" s="15" t="s">
        <v>420</v>
      </c>
      <c r="H152" s="15">
        <v>2</v>
      </c>
      <c r="I152" s="15">
        <v>0.46099999999999997</v>
      </c>
      <c r="J152" s="15" t="s">
        <v>421</v>
      </c>
    </row>
    <row r="153" spans="1:10" ht="17" x14ac:dyDescent="0.2">
      <c r="A153" s="4" t="s">
        <v>329</v>
      </c>
      <c r="B153" s="14" t="s">
        <v>482</v>
      </c>
      <c r="C153" s="15" t="s">
        <v>425</v>
      </c>
      <c r="D153" s="16" t="s">
        <v>422</v>
      </c>
      <c r="E153" s="16" t="s">
        <v>423</v>
      </c>
      <c r="F153" s="10" t="s">
        <v>459</v>
      </c>
      <c r="G153" s="15" t="s">
        <v>420</v>
      </c>
      <c r="H153" s="15">
        <v>2</v>
      </c>
      <c r="I153" s="15">
        <v>0.24399999999999999</v>
      </c>
      <c r="J153" s="15" t="s">
        <v>421</v>
      </c>
    </row>
    <row r="154" spans="1:10" ht="17" x14ac:dyDescent="0.2">
      <c r="A154" s="4" t="s">
        <v>356</v>
      </c>
      <c r="B154" s="14" t="s">
        <v>483</v>
      </c>
      <c r="C154" s="15" t="s">
        <v>425</v>
      </c>
      <c r="D154" s="16" t="s">
        <v>422</v>
      </c>
      <c r="E154" s="16" t="s">
        <v>423</v>
      </c>
      <c r="F154" s="10" t="s">
        <v>459</v>
      </c>
      <c r="G154" s="15" t="s">
        <v>420</v>
      </c>
      <c r="H154" s="15">
        <v>2</v>
      </c>
      <c r="I154" s="15">
        <v>1.331</v>
      </c>
      <c r="J154" s="15" t="s">
        <v>421</v>
      </c>
    </row>
    <row r="155" spans="1:10" ht="17" x14ac:dyDescent="0.2">
      <c r="A155" s="4" t="s">
        <v>157</v>
      </c>
      <c r="B155" s="14" t="s">
        <v>488</v>
      </c>
      <c r="C155" s="15" t="s">
        <v>425</v>
      </c>
      <c r="D155" s="16" t="s">
        <v>422</v>
      </c>
      <c r="E155" s="16" t="s">
        <v>423</v>
      </c>
      <c r="F155" s="10" t="s">
        <v>459</v>
      </c>
      <c r="G155" s="15" t="s">
        <v>420</v>
      </c>
      <c r="H155" s="15">
        <v>2</v>
      </c>
      <c r="I155" s="15">
        <v>0.49399999999999999</v>
      </c>
      <c r="J155" s="15" t="s">
        <v>421</v>
      </c>
    </row>
    <row r="156" spans="1:10" ht="17" x14ac:dyDescent="0.2">
      <c r="A156" s="4" t="s">
        <v>18</v>
      </c>
      <c r="B156" s="14" t="s">
        <v>489</v>
      </c>
      <c r="C156" s="15" t="s">
        <v>425</v>
      </c>
      <c r="D156" s="16" t="s">
        <v>422</v>
      </c>
      <c r="E156" s="16" t="s">
        <v>423</v>
      </c>
      <c r="F156" s="10" t="s">
        <v>459</v>
      </c>
      <c r="G156" s="15" t="s">
        <v>420</v>
      </c>
      <c r="H156" s="15">
        <v>2</v>
      </c>
      <c r="I156" s="15">
        <v>0.32199999999999995</v>
      </c>
      <c r="J156" s="15" t="s">
        <v>421</v>
      </c>
    </row>
    <row r="157" spans="1:10" ht="17" x14ac:dyDescent="0.2">
      <c r="A157" s="4" t="s">
        <v>211</v>
      </c>
      <c r="B157" s="14" t="s">
        <v>490</v>
      </c>
      <c r="C157" s="15" t="s">
        <v>425</v>
      </c>
      <c r="D157" s="16" t="s">
        <v>422</v>
      </c>
      <c r="E157" s="16" t="s">
        <v>423</v>
      </c>
      <c r="F157" s="10" t="s">
        <v>459</v>
      </c>
      <c r="G157" s="15" t="s">
        <v>420</v>
      </c>
      <c r="H157" s="15">
        <v>2</v>
      </c>
      <c r="I157" s="15">
        <v>0.33699999999999997</v>
      </c>
      <c r="J157" s="15" t="s">
        <v>421</v>
      </c>
    </row>
    <row r="158" spans="1:10" ht="17" x14ac:dyDescent="0.2">
      <c r="A158" s="4" t="s">
        <v>169</v>
      </c>
      <c r="B158" s="14" t="s">
        <v>491</v>
      </c>
      <c r="C158" s="15" t="s">
        <v>425</v>
      </c>
      <c r="D158" s="16" t="s">
        <v>422</v>
      </c>
      <c r="E158" s="16" t="s">
        <v>423</v>
      </c>
      <c r="F158" s="10" t="s">
        <v>459</v>
      </c>
      <c r="G158" s="15" t="s">
        <v>420</v>
      </c>
      <c r="H158" s="15">
        <v>2</v>
      </c>
      <c r="I158" s="15">
        <v>0.21599999999999997</v>
      </c>
      <c r="J158" s="15" t="s">
        <v>421</v>
      </c>
    </row>
    <row r="159" spans="1:10" ht="17" x14ac:dyDescent="0.2">
      <c r="A159" s="4" t="s">
        <v>49</v>
      </c>
      <c r="B159" s="14" t="s">
        <v>492</v>
      </c>
      <c r="C159" s="15" t="s">
        <v>425</v>
      </c>
      <c r="D159" s="16" t="s">
        <v>422</v>
      </c>
      <c r="E159" s="16" t="s">
        <v>423</v>
      </c>
      <c r="F159" s="10" t="s">
        <v>459</v>
      </c>
      <c r="G159" s="15" t="s">
        <v>420</v>
      </c>
      <c r="H159" s="15">
        <v>2</v>
      </c>
      <c r="I159" s="15">
        <v>0.22399999999999998</v>
      </c>
      <c r="J159" s="15" t="s">
        <v>421</v>
      </c>
    </row>
    <row r="160" spans="1:10" ht="17" x14ac:dyDescent="0.2">
      <c r="A160" s="4" t="s">
        <v>35</v>
      </c>
      <c r="B160" s="14" t="s">
        <v>493</v>
      </c>
      <c r="C160" s="15" t="s">
        <v>425</v>
      </c>
      <c r="D160" s="16" t="s">
        <v>422</v>
      </c>
      <c r="E160" s="16" t="s">
        <v>423</v>
      </c>
      <c r="F160" s="10" t="s">
        <v>459</v>
      </c>
      <c r="G160" s="15" t="s">
        <v>420</v>
      </c>
      <c r="H160" s="15">
        <v>2</v>
      </c>
      <c r="I160" s="15">
        <v>0.15599999999999997</v>
      </c>
      <c r="J160" s="15" t="s">
        <v>421</v>
      </c>
    </row>
    <row r="161" spans="1:16" ht="17" x14ac:dyDescent="0.2">
      <c r="A161" s="4" t="s">
        <v>202</v>
      </c>
      <c r="B161" s="14" t="s">
        <v>494</v>
      </c>
      <c r="C161" s="15" t="s">
        <v>425</v>
      </c>
      <c r="D161" s="16" t="s">
        <v>422</v>
      </c>
      <c r="E161" s="16" t="s">
        <v>423</v>
      </c>
      <c r="F161" s="10" t="s">
        <v>459</v>
      </c>
      <c r="G161" s="15" t="s">
        <v>420</v>
      </c>
      <c r="H161" s="15">
        <v>2</v>
      </c>
      <c r="I161" s="15">
        <v>0.38800000000000001</v>
      </c>
      <c r="J161" s="15" t="s">
        <v>421</v>
      </c>
    </row>
    <row r="162" spans="1:16" ht="17" x14ac:dyDescent="0.2">
      <c r="A162" s="4" t="s">
        <v>41</v>
      </c>
      <c r="B162" s="14" t="s">
        <v>495</v>
      </c>
      <c r="C162" s="15" t="s">
        <v>425</v>
      </c>
      <c r="D162" s="16" t="s">
        <v>422</v>
      </c>
      <c r="E162" s="16" t="s">
        <v>423</v>
      </c>
      <c r="F162" s="10" t="s">
        <v>459</v>
      </c>
      <c r="G162" s="15" t="s">
        <v>420</v>
      </c>
      <c r="H162" s="15">
        <v>2</v>
      </c>
      <c r="I162" s="15">
        <v>0.27600000000000002</v>
      </c>
      <c r="J162" s="15" t="s">
        <v>421</v>
      </c>
    </row>
    <row r="163" spans="1:16" ht="17" x14ac:dyDescent="0.2">
      <c r="A163" s="4" t="s">
        <v>398</v>
      </c>
      <c r="B163" s="14" t="s">
        <v>497</v>
      </c>
      <c r="C163" s="15" t="s">
        <v>425</v>
      </c>
      <c r="D163" s="16" t="s">
        <v>422</v>
      </c>
      <c r="E163" s="16" t="s">
        <v>423</v>
      </c>
      <c r="F163" s="10" t="s">
        <v>459</v>
      </c>
      <c r="G163" s="15" t="s">
        <v>420</v>
      </c>
      <c r="H163" s="15">
        <v>2</v>
      </c>
      <c r="I163" s="15">
        <v>0</v>
      </c>
      <c r="J163" s="15" t="s">
        <v>421</v>
      </c>
    </row>
    <row r="166" spans="1:16" x14ac:dyDescent="0.2">
      <c r="B166" s="1" t="s">
        <v>498</v>
      </c>
    </row>
    <row r="167" spans="1:16" ht="17" x14ac:dyDescent="0.2">
      <c r="B167" s="3" t="s">
        <v>0</v>
      </c>
      <c r="C167" s="13" t="s">
        <v>1</v>
      </c>
      <c r="D167" s="13" t="s">
        <v>2</v>
      </c>
      <c r="E167" s="13" t="s">
        <v>501</v>
      </c>
      <c r="F167" s="13" t="s">
        <v>4</v>
      </c>
      <c r="G167" s="13" t="s">
        <v>5</v>
      </c>
      <c r="H167" s="13" t="s">
        <v>7</v>
      </c>
      <c r="I167" s="13" t="s">
        <v>8</v>
      </c>
      <c r="J167" s="13" t="s">
        <v>395</v>
      </c>
      <c r="K167" s="12" t="s">
        <v>499</v>
      </c>
      <c r="L167" s="12" t="s">
        <v>500</v>
      </c>
      <c r="M167" s="4" t="s">
        <v>507</v>
      </c>
      <c r="N167" s="4" t="s">
        <v>508</v>
      </c>
    </row>
    <row r="168" spans="1:16" ht="34" x14ac:dyDescent="0.2">
      <c r="B168" s="14" t="s">
        <v>254</v>
      </c>
      <c r="C168" s="15">
        <v>1.25</v>
      </c>
      <c r="D168" s="16" t="s">
        <v>255</v>
      </c>
      <c r="E168" s="16" t="s">
        <v>502</v>
      </c>
      <c r="F168" s="15" t="s">
        <v>12</v>
      </c>
      <c r="G168" s="15" t="s">
        <v>13</v>
      </c>
      <c r="H168" s="15">
        <v>1</v>
      </c>
      <c r="I168" s="15" t="s">
        <v>223</v>
      </c>
      <c r="J168" s="15">
        <v>1</v>
      </c>
      <c r="K168" s="15">
        <v>0.129</v>
      </c>
      <c r="L168" s="15">
        <f>K168*20</f>
        <v>2.58</v>
      </c>
      <c r="M168" s="4">
        <f>K168-0.0893</f>
        <v>3.9699999999999999E-2</v>
      </c>
      <c r="N168" s="4">
        <f>K168*10</f>
        <v>1.29</v>
      </c>
      <c r="P168" s="1" t="s">
        <v>506</v>
      </c>
    </row>
    <row r="169" spans="1:16" ht="34" x14ac:dyDescent="0.2">
      <c r="B169" s="14" t="s">
        <v>380</v>
      </c>
      <c r="C169" s="15">
        <v>1.4</v>
      </c>
      <c r="D169" s="16" t="s">
        <v>381</v>
      </c>
      <c r="E169" s="16" t="s">
        <v>503</v>
      </c>
      <c r="F169" s="15" t="s">
        <v>12</v>
      </c>
      <c r="G169" s="15" t="s">
        <v>13</v>
      </c>
      <c r="H169" s="15">
        <v>1</v>
      </c>
      <c r="I169" s="15" t="s">
        <v>83</v>
      </c>
      <c r="J169" s="15">
        <v>1</v>
      </c>
      <c r="K169" s="15">
        <v>8.6699999999999999E-2</v>
      </c>
      <c r="L169" s="15">
        <f t="shared" ref="L169:L174" si="10">K169*20</f>
        <v>1.734</v>
      </c>
      <c r="M169" s="4">
        <f t="shared" ref="M169:M174" si="11">K169-0.0893</f>
        <v>-2.6000000000000051E-3</v>
      </c>
      <c r="N169" s="4">
        <f t="shared" ref="N169:N174" si="12">K169*10</f>
        <v>0.86699999999999999</v>
      </c>
      <c r="P169" s="1">
        <v>8.9300000000000004E-2</v>
      </c>
    </row>
    <row r="170" spans="1:16" ht="34" x14ac:dyDescent="0.2">
      <c r="B170" s="14" t="s">
        <v>365</v>
      </c>
      <c r="C170" s="15">
        <v>1.3</v>
      </c>
      <c r="D170" s="16" t="s">
        <v>366</v>
      </c>
      <c r="E170" s="16"/>
      <c r="F170" s="15" t="s">
        <v>12</v>
      </c>
      <c r="G170" s="15" t="s">
        <v>13</v>
      </c>
      <c r="H170" s="15">
        <v>5</v>
      </c>
      <c r="I170" s="15" t="s">
        <v>83</v>
      </c>
      <c r="J170" s="15">
        <v>1</v>
      </c>
      <c r="K170" s="15"/>
      <c r="L170" s="15"/>
      <c r="M170" s="4"/>
      <c r="N170" s="4"/>
    </row>
    <row r="171" spans="1:16" ht="34" x14ac:dyDescent="0.2">
      <c r="B171" s="14" t="s">
        <v>269</v>
      </c>
      <c r="C171" s="15">
        <v>1.4</v>
      </c>
      <c r="D171" s="16" t="s">
        <v>270</v>
      </c>
      <c r="E171" s="16"/>
      <c r="F171" s="15" t="s">
        <v>12</v>
      </c>
      <c r="G171" s="15" t="s">
        <v>13</v>
      </c>
      <c r="H171" s="15">
        <v>5</v>
      </c>
      <c r="I171" s="15" t="s">
        <v>223</v>
      </c>
      <c r="J171" s="15">
        <v>1</v>
      </c>
      <c r="K171" s="15"/>
      <c r="L171" s="15"/>
      <c r="M171" s="4"/>
      <c r="N171" s="4"/>
    </row>
    <row r="172" spans="1:16" ht="34" x14ac:dyDescent="0.2">
      <c r="B172" s="14" t="s">
        <v>362</v>
      </c>
      <c r="C172" s="15">
        <v>1.2</v>
      </c>
      <c r="D172" s="16" t="s">
        <v>363</v>
      </c>
      <c r="E172" s="16" t="s">
        <v>505</v>
      </c>
      <c r="F172" s="15" t="s">
        <v>12</v>
      </c>
      <c r="G172" s="15" t="s">
        <v>13</v>
      </c>
      <c r="H172" s="15">
        <v>12</v>
      </c>
      <c r="I172" s="15" t="s">
        <v>223</v>
      </c>
      <c r="J172" s="15">
        <v>1</v>
      </c>
      <c r="K172" s="15">
        <v>0.23400000000000001</v>
      </c>
      <c r="L172" s="15">
        <f t="shared" si="10"/>
        <v>4.6800000000000006</v>
      </c>
      <c r="M172" s="4">
        <f t="shared" si="11"/>
        <v>0.1447</v>
      </c>
      <c r="N172" s="4">
        <f t="shared" si="12"/>
        <v>2.3400000000000003</v>
      </c>
    </row>
    <row r="173" spans="1:16" ht="17" x14ac:dyDescent="0.2">
      <c r="B173" s="14" t="s">
        <v>37</v>
      </c>
      <c r="C173" s="15">
        <v>1.2</v>
      </c>
      <c r="D173" s="16" t="s">
        <v>38</v>
      </c>
      <c r="E173" s="16"/>
      <c r="F173" s="15" t="s">
        <v>12</v>
      </c>
      <c r="G173" s="15" t="s">
        <v>13</v>
      </c>
      <c r="H173" s="15">
        <v>12</v>
      </c>
      <c r="I173" s="15" t="s">
        <v>22</v>
      </c>
      <c r="J173" s="15">
        <v>1</v>
      </c>
      <c r="K173" s="15"/>
      <c r="L173" s="15"/>
      <c r="M173" s="4"/>
      <c r="N173" s="4"/>
    </row>
    <row r="174" spans="1:16" ht="34" x14ac:dyDescent="0.2">
      <c r="B174" s="14" t="s">
        <v>272</v>
      </c>
      <c r="C174" s="15">
        <v>1.4</v>
      </c>
      <c r="D174" s="16" t="s">
        <v>273</v>
      </c>
      <c r="E174" s="16" t="s">
        <v>504</v>
      </c>
      <c r="F174" s="15" t="s">
        <v>12</v>
      </c>
      <c r="G174" s="15" t="s">
        <v>13</v>
      </c>
      <c r="H174" s="15">
        <v>13</v>
      </c>
      <c r="I174" s="15" t="s">
        <v>223</v>
      </c>
      <c r="J174" s="15">
        <v>1</v>
      </c>
      <c r="K174" s="15">
        <v>0.32300000000000001</v>
      </c>
      <c r="L174" s="15">
        <f t="shared" si="10"/>
        <v>6.46</v>
      </c>
      <c r="M174" s="4">
        <f t="shared" si="11"/>
        <v>0.23370000000000002</v>
      </c>
      <c r="N174" s="4">
        <f t="shared" si="12"/>
        <v>3.23</v>
      </c>
    </row>
    <row r="175" spans="1:16" ht="34" x14ac:dyDescent="0.2">
      <c r="B175" s="14" t="s">
        <v>377</v>
      </c>
      <c r="C175" s="15">
        <v>1.4</v>
      </c>
      <c r="D175" s="16" t="s">
        <v>378</v>
      </c>
      <c r="E175" s="16"/>
      <c r="F175" s="15" t="s">
        <v>12</v>
      </c>
      <c r="G175" s="15" t="s">
        <v>13</v>
      </c>
      <c r="H175" s="15">
        <v>13</v>
      </c>
      <c r="I175" s="15" t="s">
        <v>83</v>
      </c>
      <c r="J175" s="15">
        <v>1</v>
      </c>
      <c r="K175" s="15"/>
      <c r="L175" s="15"/>
      <c r="M175" s="4"/>
      <c r="N175" s="4"/>
    </row>
    <row r="176" spans="1:16" ht="34" x14ac:dyDescent="0.2">
      <c r="B176" s="14" t="s">
        <v>296</v>
      </c>
      <c r="C176" s="15">
        <v>1.4</v>
      </c>
      <c r="D176" s="16" t="s">
        <v>297</v>
      </c>
      <c r="E176" s="16"/>
      <c r="F176" s="15" t="s">
        <v>87</v>
      </c>
      <c r="G176" s="15" t="s">
        <v>13</v>
      </c>
      <c r="H176" s="15">
        <v>34</v>
      </c>
      <c r="I176" s="15" t="s">
        <v>223</v>
      </c>
      <c r="J176" s="15">
        <v>1</v>
      </c>
      <c r="K176" s="15"/>
      <c r="L176" s="15"/>
      <c r="M176" s="4"/>
      <c r="N176" s="4"/>
    </row>
    <row r="177" spans="2:14" ht="34" x14ac:dyDescent="0.2">
      <c r="B177" s="14" t="s">
        <v>84</v>
      </c>
      <c r="C177" s="15">
        <v>1.3</v>
      </c>
      <c r="D177" s="16" t="s">
        <v>85</v>
      </c>
      <c r="E177" s="16"/>
      <c r="F177" s="15" t="s">
        <v>87</v>
      </c>
      <c r="G177" s="15" t="s">
        <v>13</v>
      </c>
      <c r="H177" s="15">
        <v>34</v>
      </c>
      <c r="I177" s="15" t="s">
        <v>83</v>
      </c>
      <c r="J177" s="15">
        <v>1</v>
      </c>
      <c r="K177" s="15"/>
      <c r="L177" s="15"/>
      <c r="M177" s="4"/>
      <c r="N177" s="4"/>
    </row>
    <row r="178" spans="2:14" ht="34" x14ac:dyDescent="0.2">
      <c r="B178" s="14" t="s">
        <v>154</v>
      </c>
      <c r="C178" s="15">
        <v>1.1499999999999999</v>
      </c>
      <c r="D178" s="16" t="s">
        <v>155</v>
      </c>
      <c r="E178" s="16"/>
      <c r="F178" s="15" t="s">
        <v>87</v>
      </c>
      <c r="G178" s="15" t="s">
        <v>13</v>
      </c>
      <c r="H178" s="15">
        <v>35</v>
      </c>
      <c r="I178" s="15" t="s">
        <v>83</v>
      </c>
      <c r="J178" s="15">
        <v>1</v>
      </c>
      <c r="K178" s="15"/>
      <c r="L178" s="15"/>
      <c r="M178" s="4"/>
      <c r="N178" s="4"/>
    </row>
    <row r="179" spans="2:14" ht="34" x14ac:dyDescent="0.2">
      <c r="B179" s="14" t="s">
        <v>344</v>
      </c>
      <c r="C179" s="15">
        <v>1.25</v>
      </c>
      <c r="D179" s="16" t="s">
        <v>345</v>
      </c>
      <c r="E179" s="16"/>
      <c r="F179" s="15" t="s">
        <v>87</v>
      </c>
      <c r="G179" s="15" t="s">
        <v>13</v>
      </c>
      <c r="H179" s="15">
        <v>35</v>
      </c>
      <c r="I179" s="15" t="s">
        <v>223</v>
      </c>
      <c r="J179" s="15">
        <v>1</v>
      </c>
      <c r="K179" s="15"/>
      <c r="L179" s="15"/>
      <c r="M179" s="4"/>
      <c r="N179" s="4"/>
    </row>
    <row r="180" spans="2:14" ht="34" x14ac:dyDescent="0.2">
      <c r="B180" s="14" t="s">
        <v>124</v>
      </c>
      <c r="C180" s="15">
        <v>1.4</v>
      </c>
      <c r="D180" s="16" t="s">
        <v>125</v>
      </c>
      <c r="E180" s="16"/>
      <c r="F180" s="15" t="s">
        <v>87</v>
      </c>
      <c r="G180" s="15" t="s">
        <v>13</v>
      </c>
      <c r="H180" s="15">
        <v>42</v>
      </c>
      <c r="I180" s="15" t="s">
        <v>83</v>
      </c>
      <c r="J180" s="15">
        <v>1</v>
      </c>
      <c r="K180" s="15"/>
      <c r="L180" s="15"/>
      <c r="M180" s="4"/>
      <c r="N180" s="4"/>
    </row>
    <row r="181" spans="2:14" ht="17" x14ac:dyDescent="0.2">
      <c r="B181" s="14" t="s">
        <v>329</v>
      </c>
      <c r="C181" s="15">
        <v>1</v>
      </c>
      <c r="D181" s="16" t="s">
        <v>330</v>
      </c>
      <c r="E181" s="16"/>
      <c r="F181" s="15" t="s">
        <v>87</v>
      </c>
      <c r="G181" s="15" t="s">
        <v>13</v>
      </c>
      <c r="H181" s="15">
        <v>42</v>
      </c>
      <c r="I181" s="15" t="s">
        <v>223</v>
      </c>
      <c r="J181" s="15">
        <v>1</v>
      </c>
      <c r="K181" s="15"/>
      <c r="L181" s="15"/>
      <c r="M181" s="4"/>
      <c r="N181" s="4"/>
    </row>
    <row r="182" spans="2:14" ht="34" x14ac:dyDescent="0.2">
      <c r="B182" s="14" t="s">
        <v>356</v>
      </c>
      <c r="C182" s="15">
        <v>1.3</v>
      </c>
      <c r="D182" s="16" t="s">
        <v>357</v>
      </c>
      <c r="E182" s="16"/>
      <c r="F182" s="15" t="s">
        <v>87</v>
      </c>
      <c r="G182" s="15" t="s">
        <v>13</v>
      </c>
      <c r="H182" s="15">
        <v>43</v>
      </c>
      <c r="I182" s="15" t="s">
        <v>223</v>
      </c>
      <c r="J182" s="15">
        <v>1</v>
      </c>
      <c r="K182" s="15"/>
      <c r="L182" s="15"/>
      <c r="M182" s="4"/>
      <c r="N182" s="4"/>
    </row>
    <row r="183" spans="2:14" ht="34" x14ac:dyDescent="0.2">
      <c r="B183" s="14" t="s">
        <v>157</v>
      </c>
      <c r="C183" s="15">
        <v>1.2</v>
      </c>
      <c r="D183" s="16" t="s">
        <v>158</v>
      </c>
      <c r="E183" s="16"/>
      <c r="F183" s="15" t="s">
        <v>87</v>
      </c>
      <c r="G183" s="15" t="s">
        <v>13</v>
      </c>
      <c r="H183" s="15">
        <v>43</v>
      </c>
      <c r="I183" s="15" t="s">
        <v>83</v>
      </c>
      <c r="J183" s="15">
        <v>1</v>
      </c>
      <c r="K183" s="15"/>
      <c r="L183" s="15"/>
      <c r="M183" s="4"/>
      <c r="N183" s="4"/>
    </row>
    <row r="184" spans="2:14" ht="17" x14ac:dyDescent="0.2">
      <c r="B184" s="14" t="s">
        <v>18</v>
      </c>
      <c r="C184" s="15">
        <v>1.25</v>
      </c>
      <c r="D184" s="16" t="s">
        <v>19</v>
      </c>
      <c r="E184" s="16"/>
      <c r="F184" s="15" t="s">
        <v>12</v>
      </c>
      <c r="G184" s="15" t="s">
        <v>13</v>
      </c>
      <c r="H184" s="15"/>
      <c r="I184" s="15" t="s">
        <v>14</v>
      </c>
      <c r="J184" s="15">
        <v>1</v>
      </c>
      <c r="K184" s="15"/>
      <c r="L184" s="15"/>
      <c r="M184" s="4"/>
      <c r="N184" s="4"/>
    </row>
    <row r="185" spans="2:14" ht="34" x14ac:dyDescent="0.2">
      <c r="B185" s="14" t="s">
        <v>211</v>
      </c>
      <c r="C185" s="15">
        <v>1.4</v>
      </c>
      <c r="D185" s="16" t="s">
        <v>212</v>
      </c>
      <c r="E185" s="16"/>
      <c r="F185" s="15" t="s">
        <v>12</v>
      </c>
      <c r="G185" s="15" t="s">
        <v>13</v>
      </c>
      <c r="H185" s="15"/>
      <c r="I185" s="15" t="s">
        <v>14</v>
      </c>
      <c r="J185" s="15">
        <v>1</v>
      </c>
      <c r="K185" s="15"/>
      <c r="L185" s="15"/>
      <c r="M185" s="4"/>
      <c r="N185" s="4"/>
    </row>
    <row r="186" spans="2:14" ht="17" x14ac:dyDescent="0.2">
      <c r="B186" s="14" t="s">
        <v>169</v>
      </c>
      <c r="C186" s="15">
        <v>1</v>
      </c>
      <c r="D186" s="16" t="s">
        <v>170</v>
      </c>
      <c r="E186" s="16"/>
      <c r="F186" s="15" t="s">
        <v>12</v>
      </c>
      <c r="G186" s="15" t="s">
        <v>13</v>
      </c>
      <c r="H186" s="15"/>
      <c r="I186" s="15" t="s">
        <v>14</v>
      </c>
      <c r="J186" s="15">
        <v>1</v>
      </c>
      <c r="K186" s="15"/>
      <c r="L186" s="15"/>
      <c r="M186" s="4"/>
      <c r="N186" s="4"/>
    </row>
    <row r="187" spans="2:14" ht="17" x14ac:dyDescent="0.2">
      <c r="B187" s="14" t="s">
        <v>49</v>
      </c>
      <c r="C187" s="15">
        <v>1.25</v>
      </c>
      <c r="D187" s="16" t="s">
        <v>50</v>
      </c>
      <c r="E187" s="16"/>
      <c r="F187" s="15" t="s">
        <v>12</v>
      </c>
      <c r="G187" s="15" t="s">
        <v>13</v>
      </c>
      <c r="H187" s="15"/>
      <c r="I187" s="15" t="s">
        <v>14</v>
      </c>
      <c r="J187" s="15">
        <v>1</v>
      </c>
      <c r="K187" s="15"/>
      <c r="L187" s="15"/>
      <c r="M187" s="4"/>
      <c r="N187" s="4"/>
    </row>
    <row r="188" spans="2:14" ht="17" x14ac:dyDescent="0.2">
      <c r="B188" s="14" t="s">
        <v>35</v>
      </c>
      <c r="C188" s="15">
        <v>1</v>
      </c>
      <c r="D188" s="16" t="s">
        <v>36</v>
      </c>
      <c r="E188" s="16"/>
      <c r="F188" s="15" t="s">
        <v>12</v>
      </c>
      <c r="G188" s="15" t="s">
        <v>13</v>
      </c>
      <c r="H188" s="15"/>
      <c r="I188" s="15" t="s">
        <v>14</v>
      </c>
      <c r="J188" s="15">
        <v>1</v>
      </c>
      <c r="K188" s="15"/>
      <c r="L188" s="15"/>
      <c r="M188" s="4"/>
      <c r="N188" s="4"/>
    </row>
    <row r="189" spans="2:14" ht="17" x14ac:dyDescent="0.2">
      <c r="B189" s="14" t="s">
        <v>202</v>
      </c>
      <c r="C189" s="15">
        <v>1</v>
      </c>
      <c r="D189" s="16" t="s">
        <v>203</v>
      </c>
      <c r="E189" s="16"/>
      <c r="F189" s="15" t="s">
        <v>12</v>
      </c>
      <c r="G189" s="15" t="s">
        <v>13</v>
      </c>
      <c r="H189" s="15"/>
      <c r="I189" s="15" t="s">
        <v>14</v>
      </c>
      <c r="J189" s="15">
        <v>1</v>
      </c>
      <c r="K189" s="15"/>
      <c r="L189" s="15"/>
      <c r="M189" s="4"/>
      <c r="N189" s="4"/>
    </row>
    <row r="190" spans="2:14" ht="17" x14ac:dyDescent="0.2">
      <c r="B190" s="14" t="s">
        <v>41</v>
      </c>
      <c r="C190" s="15">
        <v>1.25</v>
      </c>
      <c r="D190" s="16" t="s">
        <v>42</v>
      </c>
      <c r="E190" s="16"/>
      <c r="F190" s="15" t="s">
        <v>12</v>
      </c>
      <c r="G190" s="15" t="s">
        <v>13</v>
      </c>
      <c r="H190" s="15"/>
      <c r="I190" s="15" t="s">
        <v>14</v>
      </c>
      <c r="J190" s="15">
        <v>1</v>
      </c>
      <c r="K190" s="15"/>
      <c r="L190" s="15"/>
      <c r="M190" s="4"/>
      <c r="N190" s="4"/>
    </row>
    <row r="191" spans="2:14" x14ac:dyDescent="0.2">
      <c r="B191" s="14" t="s">
        <v>398</v>
      </c>
      <c r="C191" s="15" t="s">
        <v>399</v>
      </c>
      <c r="D191" s="15" t="s">
        <v>399</v>
      </c>
      <c r="E191" s="15"/>
      <c r="F191" s="15" t="s">
        <v>399</v>
      </c>
      <c r="G191" s="15" t="s">
        <v>399</v>
      </c>
      <c r="H191" s="15"/>
      <c r="I191" s="15" t="s">
        <v>399</v>
      </c>
      <c r="J191" s="15">
        <v>1</v>
      </c>
      <c r="K191" s="15"/>
      <c r="L191" s="15"/>
      <c r="M191" s="4"/>
      <c r="N191" s="4"/>
    </row>
  </sheetData>
  <sortState xmlns:xlrd2="http://schemas.microsoft.com/office/spreadsheetml/2017/richdata2" ref="B3:K25">
    <sortCondition ref="H3:H25"/>
  </sortState>
  <phoneticPr fontId="2" type="noConversion"/>
  <conditionalFormatting sqref="A140:A162">
    <cfRule type="duplicateValues" dxfId="23" priority="1"/>
  </conditionalFormatting>
  <conditionalFormatting sqref="B2">
    <cfRule type="duplicateValues" dxfId="22" priority="14"/>
  </conditionalFormatting>
  <conditionalFormatting sqref="B3:B25">
    <cfRule type="duplicateValues" dxfId="21" priority="13"/>
  </conditionalFormatting>
  <conditionalFormatting sqref="B28">
    <cfRule type="duplicateValues" dxfId="20" priority="12"/>
  </conditionalFormatting>
  <conditionalFormatting sqref="B29:B51">
    <cfRule type="duplicateValues" dxfId="19" priority="11"/>
  </conditionalFormatting>
  <conditionalFormatting sqref="B55:B77">
    <cfRule type="duplicateValues" dxfId="18" priority="8"/>
  </conditionalFormatting>
  <conditionalFormatting sqref="B82">
    <cfRule type="duplicateValues" dxfId="17" priority="7"/>
  </conditionalFormatting>
  <conditionalFormatting sqref="B83:B105">
    <cfRule type="duplicateValues" dxfId="16" priority="6"/>
  </conditionalFormatting>
  <conditionalFormatting sqref="C29:C51">
    <cfRule type="duplicateValues" dxfId="15" priority="9"/>
  </conditionalFormatting>
  <conditionalFormatting sqref="C83:C105">
    <cfRule type="duplicateValues" dxfId="14" priority="5"/>
  </conditionalFormatting>
  <conditionalFormatting sqref="P110">
    <cfRule type="duplicateValues" dxfId="13" priority="4"/>
  </conditionalFormatting>
  <conditionalFormatting sqref="P111:P133">
    <cfRule type="duplicateValues" dxfId="12" priority="3"/>
  </conditionalFormatting>
  <conditionalFormatting sqref="Q111:Q133">
    <cfRule type="duplicateValues" dxfId="11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2239E-BCB7-1A4E-8CC9-520A6B954918}">
  <dimension ref="A1:O25"/>
  <sheetViews>
    <sheetView topLeftCell="A4" workbookViewId="0">
      <selection activeCell="D26" sqref="D26"/>
    </sheetView>
  </sheetViews>
  <sheetFormatPr baseColWidth="10" defaultRowHeight="15" x14ac:dyDescent="0.2"/>
  <cols>
    <col min="1" max="1" width="14.6640625" customWidth="1"/>
    <col min="2" max="2" width="16.33203125" customWidth="1"/>
    <col min="3" max="3" width="45.1640625" customWidth="1"/>
    <col min="4" max="4" width="17.6640625" bestFit="1" customWidth="1"/>
    <col min="5" max="5" width="11.1640625" bestFit="1" customWidth="1"/>
    <col min="6" max="6" width="10.6640625" bestFit="1" customWidth="1"/>
    <col min="7" max="7" width="8.1640625" bestFit="1" customWidth="1"/>
    <col min="8" max="8" width="5.5" bestFit="1" customWidth="1"/>
    <col min="9" max="9" width="16.5" bestFit="1" customWidth="1"/>
    <col min="10" max="10" width="9.83203125" bestFit="1" customWidth="1"/>
    <col min="11" max="11" width="5.5" bestFit="1" customWidth="1"/>
    <col min="12" max="12" width="29.83203125" bestFit="1" customWidth="1"/>
    <col min="13" max="13" width="32.33203125" bestFit="1" customWidth="1"/>
    <col min="14" max="14" width="30.1640625" bestFit="1" customWidth="1"/>
    <col min="15" max="15" width="33.33203125" bestFit="1" customWidth="1"/>
  </cols>
  <sheetData>
    <row r="1" spans="1:15" ht="16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395</v>
      </c>
      <c r="L1" s="4" t="s">
        <v>396</v>
      </c>
      <c r="M1" s="8" t="s">
        <v>512</v>
      </c>
      <c r="N1" s="8" t="s">
        <v>513</v>
      </c>
      <c r="O1" s="8" t="s">
        <v>515</v>
      </c>
    </row>
    <row r="2" spans="1:15" ht="30" customHeight="1" x14ac:dyDescent="0.2">
      <c r="A2" s="8" t="s">
        <v>386</v>
      </c>
      <c r="B2" s="8">
        <v>1</v>
      </c>
      <c r="C2" s="9" t="s">
        <v>387</v>
      </c>
      <c r="D2" s="8" t="s">
        <v>388</v>
      </c>
      <c r="E2" s="8" t="s">
        <v>12</v>
      </c>
      <c r="F2" s="8" t="s">
        <v>13</v>
      </c>
      <c r="G2" s="8">
        <v>1</v>
      </c>
      <c r="H2" s="8">
        <v>7</v>
      </c>
      <c r="I2" s="8" t="s">
        <v>83</v>
      </c>
      <c r="J2" s="8"/>
      <c r="K2" s="8">
        <v>2</v>
      </c>
      <c r="L2" s="8">
        <f>(2-B2)*1000</f>
        <v>1000</v>
      </c>
      <c r="M2" s="8">
        <v>0.39500000000000002</v>
      </c>
      <c r="N2" s="8">
        <f>M2-$M$25</f>
        <v>0.22200000000000003</v>
      </c>
      <c r="O2" s="8">
        <f>(M2-$M$25)*40</f>
        <v>8.8800000000000008</v>
      </c>
    </row>
    <row r="3" spans="1:15" ht="30" customHeight="1" x14ac:dyDescent="0.2">
      <c r="A3" s="8" t="s">
        <v>227</v>
      </c>
      <c r="B3" s="8">
        <v>1</v>
      </c>
      <c r="C3" s="9" t="s">
        <v>228</v>
      </c>
      <c r="D3" s="8" t="s">
        <v>229</v>
      </c>
      <c r="E3" s="8" t="s">
        <v>12</v>
      </c>
      <c r="F3" s="8" t="s">
        <v>13</v>
      </c>
      <c r="G3" s="8">
        <v>1</v>
      </c>
      <c r="H3" s="8">
        <v>7</v>
      </c>
      <c r="I3" s="8" t="s">
        <v>223</v>
      </c>
      <c r="J3" s="8"/>
      <c r="K3" s="8">
        <v>2</v>
      </c>
      <c r="L3" s="8">
        <f t="shared" ref="L3:L24" si="0">(2-B3)*1000</f>
        <v>1000</v>
      </c>
      <c r="M3" s="8">
        <v>0.39</v>
      </c>
      <c r="N3" s="8">
        <f t="shared" ref="N3:N25" si="1">M3-$M$25</f>
        <v>0.21700000000000003</v>
      </c>
      <c r="O3" s="8">
        <f t="shared" ref="O3:O25" si="2">(M3-$M$25)*40</f>
        <v>8.6800000000000015</v>
      </c>
    </row>
    <row r="4" spans="1:15" ht="30" customHeight="1" x14ac:dyDescent="0.2">
      <c r="A4" s="8" t="s">
        <v>374</v>
      </c>
      <c r="B4" s="8">
        <v>1.3</v>
      </c>
      <c r="C4" s="9" t="s">
        <v>375</v>
      </c>
      <c r="D4" s="8" t="s">
        <v>376</v>
      </c>
      <c r="E4" s="8" t="s">
        <v>12</v>
      </c>
      <c r="F4" s="8" t="s">
        <v>13</v>
      </c>
      <c r="G4" s="8">
        <v>1</v>
      </c>
      <c r="H4" s="8">
        <v>8</v>
      </c>
      <c r="I4" s="8" t="s">
        <v>83</v>
      </c>
      <c r="J4" s="8"/>
      <c r="K4" s="8">
        <v>2</v>
      </c>
      <c r="L4" s="8">
        <f t="shared" si="0"/>
        <v>700</v>
      </c>
      <c r="M4" s="8">
        <v>0.4</v>
      </c>
      <c r="N4" s="8">
        <f t="shared" si="1"/>
        <v>0.22700000000000004</v>
      </c>
      <c r="O4" s="8">
        <f t="shared" si="2"/>
        <v>9.0800000000000018</v>
      </c>
    </row>
    <row r="5" spans="1:15" ht="30" customHeight="1" x14ac:dyDescent="0.2">
      <c r="A5" s="8" t="s">
        <v>236</v>
      </c>
      <c r="B5" s="8">
        <v>1.1000000000000001</v>
      </c>
      <c r="C5" s="9" t="s">
        <v>237</v>
      </c>
      <c r="D5" s="8" t="s">
        <v>238</v>
      </c>
      <c r="E5" s="8" t="s">
        <v>12</v>
      </c>
      <c r="F5" s="8" t="s">
        <v>13</v>
      </c>
      <c r="G5" s="8">
        <v>1</v>
      </c>
      <c r="H5" s="8">
        <v>8</v>
      </c>
      <c r="I5" s="8" t="s">
        <v>223</v>
      </c>
      <c r="J5" s="8"/>
      <c r="K5" s="8">
        <v>2</v>
      </c>
      <c r="L5" s="8">
        <f t="shared" si="0"/>
        <v>899.99999999999989</v>
      </c>
      <c r="M5" s="8">
        <v>0.35</v>
      </c>
      <c r="N5" s="8">
        <f t="shared" si="1"/>
        <v>0.17699999999999999</v>
      </c>
      <c r="O5" s="8">
        <f t="shared" si="2"/>
        <v>7.08</v>
      </c>
    </row>
    <row r="6" spans="1:15" ht="30" customHeight="1" x14ac:dyDescent="0.2">
      <c r="A6" s="8" t="s">
        <v>281</v>
      </c>
      <c r="B6" s="8">
        <v>1.4</v>
      </c>
      <c r="C6" s="9" t="s">
        <v>282</v>
      </c>
      <c r="D6" s="8" t="s">
        <v>283</v>
      </c>
      <c r="E6" s="8" t="s">
        <v>12</v>
      </c>
      <c r="F6" s="8" t="s">
        <v>13</v>
      </c>
      <c r="G6" s="8">
        <v>1</v>
      </c>
      <c r="H6" s="8">
        <v>14</v>
      </c>
      <c r="I6" s="8" t="s">
        <v>223</v>
      </c>
      <c r="J6" s="8"/>
      <c r="K6" s="8">
        <v>2</v>
      </c>
      <c r="L6" s="8">
        <f t="shared" si="0"/>
        <v>600.00000000000011</v>
      </c>
      <c r="M6" s="8">
        <v>0.72699999999999998</v>
      </c>
      <c r="N6" s="8">
        <f t="shared" si="1"/>
        <v>0.55400000000000005</v>
      </c>
      <c r="O6" s="8">
        <f t="shared" si="2"/>
        <v>22.160000000000004</v>
      </c>
    </row>
    <row r="7" spans="1:15" ht="30" customHeight="1" x14ac:dyDescent="0.2">
      <c r="A7" s="8" t="s">
        <v>61</v>
      </c>
      <c r="B7" s="8">
        <v>1.25</v>
      </c>
      <c r="C7" s="9" t="s">
        <v>62</v>
      </c>
      <c r="D7" s="8"/>
      <c r="E7" s="8" t="s">
        <v>12</v>
      </c>
      <c r="F7" s="8" t="s">
        <v>13</v>
      </c>
      <c r="G7" s="8">
        <v>1</v>
      </c>
      <c r="H7" s="8">
        <v>14</v>
      </c>
      <c r="I7" s="8" t="s">
        <v>22</v>
      </c>
      <c r="J7" s="8" t="s">
        <v>15</v>
      </c>
      <c r="K7" s="8">
        <v>2</v>
      </c>
      <c r="L7" s="8">
        <f t="shared" si="0"/>
        <v>750</v>
      </c>
      <c r="M7" s="8">
        <v>0.68700000000000006</v>
      </c>
      <c r="N7" s="8">
        <f t="shared" si="1"/>
        <v>0.51400000000000001</v>
      </c>
      <c r="O7" s="8">
        <f t="shared" si="2"/>
        <v>20.560000000000002</v>
      </c>
    </row>
    <row r="8" spans="1:15" ht="30" customHeight="1" x14ac:dyDescent="0.2">
      <c r="A8" s="8" t="s">
        <v>103</v>
      </c>
      <c r="B8" s="8">
        <v>1.35</v>
      </c>
      <c r="C8" s="9" t="s">
        <v>104</v>
      </c>
      <c r="D8" s="8" t="s">
        <v>105</v>
      </c>
      <c r="E8" s="8" t="s">
        <v>87</v>
      </c>
      <c r="F8" s="8" t="s">
        <v>13</v>
      </c>
      <c r="G8" s="8">
        <v>1</v>
      </c>
      <c r="H8" s="8">
        <v>19</v>
      </c>
      <c r="I8" s="8" t="s">
        <v>83</v>
      </c>
      <c r="J8" s="8"/>
      <c r="K8" s="8">
        <v>2</v>
      </c>
      <c r="L8" s="8">
        <f t="shared" si="0"/>
        <v>649.99999999999989</v>
      </c>
      <c r="M8" s="8">
        <v>0.46200000000000002</v>
      </c>
      <c r="N8" s="8">
        <f t="shared" si="1"/>
        <v>0.28900000000000003</v>
      </c>
      <c r="O8" s="8">
        <f t="shared" si="2"/>
        <v>11.560000000000002</v>
      </c>
    </row>
    <row r="9" spans="1:15" ht="30" customHeight="1" x14ac:dyDescent="0.2">
      <c r="A9" s="8" t="s">
        <v>302</v>
      </c>
      <c r="B9" s="8">
        <v>1</v>
      </c>
      <c r="C9" s="9" t="s">
        <v>303</v>
      </c>
      <c r="D9" s="8" t="s">
        <v>304</v>
      </c>
      <c r="E9" s="8" t="s">
        <v>87</v>
      </c>
      <c r="F9" s="8" t="s">
        <v>13</v>
      </c>
      <c r="G9" s="8">
        <v>2</v>
      </c>
      <c r="H9" s="8">
        <v>19</v>
      </c>
      <c r="I9" s="8" t="s">
        <v>223</v>
      </c>
      <c r="J9" s="8"/>
      <c r="K9" s="8">
        <v>2</v>
      </c>
      <c r="L9" s="8">
        <f t="shared" si="0"/>
        <v>1000</v>
      </c>
      <c r="M9" s="8">
        <v>0.375</v>
      </c>
      <c r="N9" s="8">
        <f t="shared" si="1"/>
        <v>0.20200000000000001</v>
      </c>
      <c r="O9" s="8">
        <f t="shared" si="2"/>
        <v>8.08</v>
      </c>
    </row>
    <row r="10" spans="1:15" ht="30" customHeight="1" x14ac:dyDescent="0.2">
      <c r="A10" s="8" t="s">
        <v>151</v>
      </c>
      <c r="B10" s="8">
        <v>1.35</v>
      </c>
      <c r="C10" s="9" t="s">
        <v>152</v>
      </c>
      <c r="D10" s="8" t="s">
        <v>153</v>
      </c>
      <c r="E10" s="8" t="s">
        <v>87</v>
      </c>
      <c r="F10" s="8" t="s">
        <v>13</v>
      </c>
      <c r="G10" s="8">
        <v>1</v>
      </c>
      <c r="H10" s="8">
        <v>24</v>
      </c>
      <c r="I10" s="8" t="s">
        <v>83</v>
      </c>
      <c r="J10" s="8"/>
      <c r="K10" s="8">
        <v>2</v>
      </c>
      <c r="L10" s="8">
        <f t="shared" si="0"/>
        <v>649.99999999999989</v>
      </c>
      <c r="M10" s="8">
        <v>0.48099999999999998</v>
      </c>
      <c r="N10" s="8">
        <f t="shared" si="1"/>
        <v>0.308</v>
      </c>
      <c r="O10" s="8">
        <f t="shared" si="2"/>
        <v>12.32</v>
      </c>
    </row>
    <row r="11" spans="1:15" ht="30" customHeight="1" x14ac:dyDescent="0.2">
      <c r="A11" s="8" t="s">
        <v>341</v>
      </c>
      <c r="B11" s="8">
        <v>1</v>
      </c>
      <c r="C11" s="9" t="s">
        <v>342</v>
      </c>
      <c r="D11" s="8" t="s">
        <v>343</v>
      </c>
      <c r="E11" s="8" t="s">
        <v>87</v>
      </c>
      <c r="F11" s="8" t="s">
        <v>13</v>
      </c>
      <c r="G11" s="8">
        <v>1</v>
      </c>
      <c r="H11" s="8">
        <v>24</v>
      </c>
      <c r="I11" s="8" t="s">
        <v>223</v>
      </c>
      <c r="J11" s="8"/>
      <c r="K11" s="8">
        <v>2</v>
      </c>
      <c r="L11" s="8">
        <f t="shared" si="0"/>
        <v>1000</v>
      </c>
      <c r="M11" s="8">
        <v>0.76</v>
      </c>
      <c r="N11" s="8">
        <f t="shared" si="1"/>
        <v>0.58699999999999997</v>
      </c>
      <c r="O11" s="8">
        <f t="shared" si="2"/>
        <v>23.479999999999997</v>
      </c>
    </row>
    <row r="12" spans="1:15" ht="30" customHeight="1" x14ac:dyDescent="0.2">
      <c r="A12" s="8" t="s">
        <v>230</v>
      </c>
      <c r="B12" s="8">
        <v>1.25</v>
      </c>
      <c r="C12" s="9" t="s">
        <v>231</v>
      </c>
      <c r="D12" s="8" t="s">
        <v>232</v>
      </c>
      <c r="E12" s="8" t="s">
        <v>12</v>
      </c>
      <c r="F12" s="8" t="s">
        <v>13</v>
      </c>
      <c r="G12" s="8">
        <v>1</v>
      </c>
      <c r="H12" s="8">
        <v>28</v>
      </c>
      <c r="I12" s="8" t="s">
        <v>223</v>
      </c>
      <c r="J12" s="8"/>
      <c r="K12" s="8">
        <v>2</v>
      </c>
      <c r="L12" s="8">
        <f t="shared" si="0"/>
        <v>750</v>
      </c>
      <c r="M12" s="8">
        <v>0.84699999999999998</v>
      </c>
      <c r="N12" s="8">
        <f t="shared" si="1"/>
        <v>0.67399999999999993</v>
      </c>
      <c r="O12" s="8">
        <f t="shared" si="2"/>
        <v>26.959999999999997</v>
      </c>
    </row>
    <row r="13" spans="1:15" ht="30" customHeight="1" x14ac:dyDescent="0.2">
      <c r="A13" s="8" t="s">
        <v>115</v>
      </c>
      <c r="B13" s="8">
        <v>1.1499999999999999</v>
      </c>
      <c r="C13" s="9" t="s">
        <v>116</v>
      </c>
      <c r="D13" s="8" t="s">
        <v>117</v>
      </c>
      <c r="E13" s="8" t="s">
        <v>12</v>
      </c>
      <c r="F13" s="8" t="s">
        <v>13</v>
      </c>
      <c r="G13" s="8">
        <v>1</v>
      </c>
      <c r="H13" s="8">
        <v>28</v>
      </c>
      <c r="I13" s="8" t="s">
        <v>83</v>
      </c>
      <c r="J13" s="8"/>
      <c r="K13" s="8">
        <v>2</v>
      </c>
      <c r="L13" s="8">
        <f t="shared" si="0"/>
        <v>850.00000000000011</v>
      </c>
      <c r="M13" s="8">
        <v>0.48699999999999999</v>
      </c>
      <c r="N13" s="8">
        <f t="shared" si="1"/>
        <v>0.314</v>
      </c>
      <c r="O13" s="8">
        <f t="shared" si="2"/>
        <v>12.56</v>
      </c>
    </row>
    <row r="14" spans="1:15" ht="30" customHeight="1" x14ac:dyDescent="0.2">
      <c r="A14" s="8" t="s">
        <v>139</v>
      </c>
      <c r="B14" s="8">
        <v>1.35</v>
      </c>
      <c r="C14" s="9" t="s">
        <v>140</v>
      </c>
      <c r="D14" s="8" t="s">
        <v>141</v>
      </c>
      <c r="E14" s="8" t="s">
        <v>12</v>
      </c>
      <c r="F14" s="8" t="s">
        <v>13</v>
      </c>
      <c r="G14" s="8">
        <v>1</v>
      </c>
      <c r="H14" s="8">
        <v>45</v>
      </c>
      <c r="I14" s="8" t="s">
        <v>83</v>
      </c>
      <c r="J14" s="8"/>
      <c r="K14" s="8">
        <v>2</v>
      </c>
      <c r="L14" s="8">
        <f t="shared" si="0"/>
        <v>649.99999999999989</v>
      </c>
      <c r="M14" s="8">
        <v>0.379</v>
      </c>
      <c r="N14" s="8">
        <f t="shared" si="1"/>
        <v>0.20600000000000002</v>
      </c>
      <c r="O14" s="8">
        <f t="shared" si="2"/>
        <v>8.24</v>
      </c>
    </row>
    <row r="15" spans="1:15" ht="30" customHeight="1" x14ac:dyDescent="0.2">
      <c r="A15" s="8" t="s">
        <v>239</v>
      </c>
      <c r="B15" s="8">
        <v>1.3</v>
      </c>
      <c r="C15" s="9" t="s">
        <v>240</v>
      </c>
      <c r="D15" s="8" t="s">
        <v>241</v>
      </c>
      <c r="E15" s="8" t="s">
        <v>12</v>
      </c>
      <c r="F15" s="8" t="s">
        <v>13</v>
      </c>
      <c r="G15" s="8">
        <v>1</v>
      </c>
      <c r="H15" s="8">
        <v>45</v>
      </c>
      <c r="I15" s="8" t="s">
        <v>223</v>
      </c>
      <c r="J15" s="8"/>
      <c r="K15" s="8">
        <v>2</v>
      </c>
      <c r="L15" s="8">
        <f t="shared" si="0"/>
        <v>700</v>
      </c>
      <c r="M15" s="8">
        <v>0.51500000000000001</v>
      </c>
      <c r="N15" s="8">
        <f t="shared" si="1"/>
        <v>0.34200000000000003</v>
      </c>
      <c r="O15" s="8">
        <f t="shared" si="2"/>
        <v>13.680000000000001</v>
      </c>
    </row>
    <row r="16" spans="1:15" ht="30" customHeight="1" x14ac:dyDescent="0.2">
      <c r="A16" s="8" t="s">
        <v>80</v>
      </c>
      <c r="B16" s="8">
        <v>1.25</v>
      </c>
      <c r="C16" s="9" t="s">
        <v>81</v>
      </c>
      <c r="D16" s="8" t="s">
        <v>82</v>
      </c>
      <c r="E16" s="8" t="s">
        <v>12</v>
      </c>
      <c r="F16" s="8" t="s">
        <v>13</v>
      </c>
      <c r="G16" s="8">
        <v>1</v>
      </c>
      <c r="H16" s="8">
        <v>46</v>
      </c>
      <c r="I16" s="8" t="s">
        <v>83</v>
      </c>
      <c r="J16" s="8"/>
      <c r="K16" s="8">
        <v>2</v>
      </c>
      <c r="L16" s="8">
        <f t="shared" si="0"/>
        <v>750</v>
      </c>
      <c r="M16" s="8">
        <v>1.43</v>
      </c>
      <c r="N16" s="8">
        <f t="shared" si="1"/>
        <v>1.2569999999999999</v>
      </c>
      <c r="O16" s="8">
        <f t="shared" si="2"/>
        <v>50.279999999999994</v>
      </c>
    </row>
    <row r="17" spans="1:15" ht="30" customHeight="1" x14ac:dyDescent="0.2">
      <c r="A17" s="8" t="s">
        <v>263</v>
      </c>
      <c r="B17" s="8">
        <v>1.1000000000000001</v>
      </c>
      <c r="C17" s="9" t="s">
        <v>264</v>
      </c>
      <c r="D17" s="8" t="s">
        <v>265</v>
      </c>
      <c r="E17" s="8" t="s">
        <v>12</v>
      </c>
      <c r="F17" s="8" t="s">
        <v>13</v>
      </c>
      <c r="G17" s="8">
        <v>1</v>
      </c>
      <c r="H17" s="8">
        <v>46</v>
      </c>
      <c r="I17" s="8" t="s">
        <v>223</v>
      </c>
      <c r="J17" s="8"/>
      <c r="K17" s="8">
        <v>2</v>
      </c>
      <c r="L17" s="8">
        <f t="shared" si="0"/>
        <v>899.99999999999989</v>
      </c>
      <c r="M17" s="8">
        <v>1.07</v>
      </c>
      <c r="N17" s="8">
        <f t="shared" si="1"/>
        <v>0.89700000000000002</v>
      </c>
      <c r="O17" s="8">
        <f t="shared" si="2"/>
        <v>35.880000000000003</v>
      </c>
    </row>
    <row r="18" spans="1:15" ht="30" customHeight="1" x14ac:dyDescent="0.2">
      <c r="A18" s="8" t="s">
        <v>39</v>
      </c>
      <c r="B18" s="8">
        <v>1.25</v>
      </c>
      <c r="C18" s="9" t="s">
        <v>40</v>
      </c>
      <c r="D18" s="8"/>
      <c r="E18" s="8" t="s">
        <v>12</v>
      </c>
      <c r="F18" s="8" t="s">
        <v>13</v>
      </c>
      <c r="G18" s="8">
        <v>1</v>
      </c>
      <c r="H18" s="8"/>
      <c r="I18" s="8" t="s">
        <v>14</v>
      </c>
      <c r="J18" s="8" t="s">
        <v>15</v>
      </c>
      <c r="K18" s="8">
        <v>2</v>
      </c>
      <c r="L18" s="8">
        <f t="shared" si="0"/>
        <v>750</v>
      </c>
      <c r="M18" s="8">
        <v>0.44500000000000001</v>
      </c>
      <c r="N18" s="8">
        <f t="shared" si="1"/>
        <v>0.27200000000000002</v>
      </c>
      <c r="O18" s="8">
        <f t="shared" si="2"/>
        <v>10.88</v>
      </c>
    </row>
    <row r="19" spans="1:15" ht="30" customHeight="1" x14ac:dyDescent="0.2">
      <c r="A19" s="8" t="s">
        <v>65</v>
      </c>
      <c r="B19" s="8">
        <v>1.2</v>
      </c>
      <c r="C19" s="9" t="s">
        <v>66</v>
      </c>
      <c r="D19" s="8"/>
      <c r="E19" s="8" t="s">
        <v>12</v>
      </c>
      <c r="F19" s="8" t="s">
        <v>13</v>
      </c>
      <c r="G19" s="8">
        <v>1</v>
      </c>
      <c r="H19" s="8"/>
      <c r="I19" s="8" t="s">
        <v>14</v>
      </c>
      <c r="J19" s="8" t="s">
        <v>15</v>
      </c>
      <c r="K19" s="8">
        <v>2</v>
      </c>
      <c r="L19" s="8">
        <f t="shared" si="0"/>
        <v>800</v>
      </c>
      <c r="M19" s="8">
        <v>0.52800000000000002</v>
      </c>
      <c r="N19" s="8">
        <f t="shared" si="1"/>
        <v>0.35500000000000004</v>
      </c>
      <c r="O19" s="8">
        <f t="shared" si="2"/>
        <v>14.200000000000001</v>
      </c>
    </row>
    <row r="20" spans="1:15" ht="30" customHeight="1" x14ac:dyDescent="0.2">
      <c r="A20" s="8" t="s">
        <v>67</v>
      </c>
      <c r="B20" s="8">
        <v>1.25</v>
      </c>
      <c r="C20" s="9" t="s">
        <v>68</v>
      </c>
      <c r="D20" s="8"/>
      <c r="E20" s="8" t="s">
        <v>12</v>
      </c>
      <c r="F20" s="8" t="s">
        <v>13</v>
      </c>
      <c r="G20" s="8">
        <v>1</v>
      </c>
      <c r="H20" s="8"/>
      <c r="I20" s="8" t="s">
        <v>14</v>
      </c>
      <c r="J20" s="8" t="s">
        <v>15</v>
      </c>
      <c r="K20" s="8">
        <v>2</v>
      </c>
      <c r="L20" s="8">
        <f t="shared" si="0"/>
        <v>750</v>
      </c>
      <c r="M20" s="8" t="s">
        <v>514</v>
      </c>
      <c r="N20" s="8" t="e">
        <f t="shared" si="1"/>
        <v>#VALUE!</v>
      </c>
      <c r="O20" s="8" t="e">
        <f t="shared" si="2"/>
        <v>#VALUE!</v>
      </c>
    </row>
    <row r="21" spans="1:15" ht="30" customHeight="1" x14ac:dyDescent="0.2">
      <c r="A21" s="8" t="s">
        <v>181</v>
      </c>
      <c r="B21" s="8">
        <v>1</v>
      </c>
      <c r="C21" s="9" t="s">
        <v>182</v>
      </c>
      <c r="D21" s="8" t="s">
        <v>183</v>
      </c>
      <c r="E21" s="8" t="s">
        <v>12</v>
      </c>
      <c r="F21" s="8" t="s">
        <v>13</v>
      </c>
      <c r="G21" s="8">
        <v>2</v>
      </c>
      <c r="H21" s="8"/>
      <c r="I21" s="8" t="s">
        <v>14</v>
      </c>
      <c r="J21" s="8"/>
      <c r="K21" s="8">
        <v>2</v>
      </c>
      <c r="L21" s="8">
        <f t="shared" si="0"/>
        <v>1000</v>
      </c>
      <c r="M21" s="8">
        <v>0.53400000000000003</v>
      </c>
      <c r="N21" s="8">
        <f t="shared" si="1"/>
        <v>0.36100000000000004</v>
      </c>
      <c r="O21" s="8">
        <f t="shared" si="2"/>
        <v>14.440000000000001</v>
      </c>
    </row>
    <row r="22" spans="1:15" ht="30" customHeight="1" x14ac:dyDescent="0.2">
      <c r="A22" s="8" t="s">
        <v>51</v>
      </c>
      <c r="B22" s="8">
        <v>1.25</v>
      </c>
      <c r="C22" s="9" t="s">
        <v>52</v>
      </c>
      <c r="D22" s="8"/>
      <c r="E22" s="8" t="s">
        <v>12</v>
      </c>
      <c r="F22" s="8" t="s">
        <v>13</v>
      </c>
      <c r="G22" s="8">
        <v>1</v>
      </c>
      <c r="H22" s="8"/>
      <c r="I22" s="8" t="s">
        <v>14</v>
      </c>
      <c r="J22" s="8" t="s">
        <v>15</v>
      </c>
      <c r="K22" s="8">
        <v>2</v>
      </c>
      <c r="L22" s="8">
        <f t="shared" si="0"/>
        <v>750</v>
      </c>
      <c r="M22" s="8">
        <v>0.45600000000000002</v>
      </c>
      <c r="N22" s="8">
        <f t="shared" si="1"/>
        <v>0.28300000000000003</v>
      </c>
      <c r="O22" s="8">
        <f t="shared" si="2"/>
        <v>11.32</v>
      </c>
    </row>
    <row r="23" spans="1:15" ht="30" customHeight="1" x14ac:dyDescent="0.2">
      <c r="A23" s="8" t="s">
        <v>57</v>
      </c>
      <c r="B23" s="8">
        <v>1.1000000000000001</v>
      </c>
      <c r="C23" s="9" t="s">
        <v>58</v>
      </c>
      <c r="D23" s="8"/>
      <c r="E23" s="8" t="s">
        <v>12</v>
      </c>
      <c r="F23" s="8" t="s">
        <v>13</v>
      </c>
      <c r="G23" s="8">
        <v>1</v>
      </c>
      <c r="H23" s="8"/>
      <c r="I23" s="8" t="s">
        <v>14</v>
      </c>
      <c r="J23" s="8" t="s">
        <v>15</v>
      </c>
      <c r="K23" s="8">
        <v>2</v>
      </c>
      <c r="L23" s="8">
        <f t="shared" si="0"/>
        <v>899.99999999999989</v>
      </c>
      <c r="M23" s="8">
        <v>0.39700000000000002</v>
      </c>
      <c r="N23" s="8">
        <f t="shared" si="1"/>
        <v>0.22400000000000003</v>
      </c>
      <c r="O23" s="8">
        <f t="shared" si="2"/>
        <v>8.9600000000000009</v>
      </c>
    </row>
    <row r="24" spans="1:15" ht="30" customHeight="1" x14ac:dyDescent="0.2">
      <c r="A24" s="8" t="s">
        <v>184</v>
      </c>
      <c r="B24" s="8">
        <v>1</v>
      </c>
      <c r="C24" s="9" t="s">
        <v>185</v>
      </c>
      <c r="D24" s="8" t="s">
        <v>186</v>
      </c>
      <c r="E24" s="8" t="s">
        <v>12</v>
      </c>
      <c r="F24" s="8" t="s">
        <v>13</v>
      </c>
      <c r="G24" s="8">
        <v>2</v>
      </c>
      <c r="H24" s="8"/>
      <c r="I24" s="8" t="s">
        <v>14</v>
      </c>
      <c r="J24" s="8"/>
      <c r="K24" s="8">
        <v>2</v>
      </c>
      <c r="L24" s="8">
        <f t="shared" si="0"/>
        <v>1000</v>
      </c>
      <c r="M24" s="8">
        <v>0.218</v>
      </c>
      <c r="N24" s="8">
        <f t="shared" si="1"/>
        <v>4.5000000000000012E-2</v>
      </c>
      <c r="O24" s="8">
        <f t="shared" si="2"/>
        <v>1.8000000000000005</v>
      </c>
    </row>
    <row r="25" spans="1:15" ht="30" customHeight="1" x14ac:dyDescent="0.2">
      <c r="A25" s="9" t="s">
        <v>452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>
        <v>2000</v>
      </c>
      <c r="M25" s="8">
        <v>0.17299999999999999</v>
      </c>
      <c r="N25" s="8">
        <f t="shared" si="1"/>
        <v>0</v>
      </c>
      <c r="O25" s="8">
        <f t="shared" si="2"/>
        <v>0</v>
      </c>
    </row>
  </sheetData>
  <sortState xmlns:xlrd2="http://schemas.microsoft.com/office/spreadsheetml/2017/richdata2" ref="A2:K27">
    <sortCondition ref="H2:H27"/>
  </sortState>
  <conditionalFormatting sqref="A1">
    <cfRule type="duplicateValues" dxfId="10" priority="3"/>
  </conditionalFormatting>
  <conditionalFormatting sqref="A23:A24">
    <cfRule type="duplicateValues" dxfId="9" priority="1"/>
  </conditionalFormatting>
  <conditionalFormatting sqref="A25 A2:A22">
    <cfRule type="duplicateValues" dxfId="8" priority="1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ED4D9-615D-394B-9B45-91B8D0DDE91C}">
  <dimension ref="A1:O25"/>
  <sheetViews>
    <sheetView zoomScale="125" workbookViewId="0">
      <selection activeCell="N4" sqref="N4"/>
    </sheetView>
  </sheetViews>
  <sheetFormatPr baseColWidth="10" defaultRowHeight="15" x14ac:dyDescent="0.2"/>
  <cols>
    <col min="1" max="1" width="20.6640625" bestFit="1" customWidth="1"/>
    <col min="3" max="3" width="53.33203125" bestFit="1" customWidth="1"/>
    <col min="13" max="13" width="32.33203125" bestFit="1" customWidth="1"/>
    <col min="14" max="14" width="30.1640625" bestFit="1" customWidth="1"/>
    <col min="15" max="15" width="43.33203125" bestFit="1" customWidth="1"/>
  </cols>
  <sheetData>
    <row r="1" spans="1:15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395</v>
      </c>
      <c r="L1" s="8" t="s">
        <v>509</v>
      </c>
      <c r="M1" s="8" t="s">
        <v>512</v>
      </c>
      <c r="N1" s="8" t="s">
        <v>513</v>
      </c>
      <c r="O1" s="8" t="s">
        <v>515</v>
      </c>
    </row>
    <row r="2" spans="1:15" ht="26" customHeight="1" x14ac:dyDescent="0.2">
      <c r="A2" s="8" t="s">
        <v>248</v>
      </c>
      <c r="B2" s="8">
        <v>1</v>
      </c>
      <c r="C2" s="8" t="s">
        <v>249</v>
      </c>
      <c r="D2" s="8" t="s">
        <v>250</v>
      </c>
      <c r="E2" s="8" t="s">
        <v>12</v>
      </c>
      <c r="F2" s="8" t="s">
        <v>13</v>
      </c>
      <c r="G2" s="8">
        <v>2</v>
      </c>
      <c r="H2" s="8">
        <v>9</v>
      </c>
      <c r="I2" s="8" t="s">
        <v>223</v>
      </c>
      <c r="J2" s="8"/>
      <c r="K2" s="8">
        <v>3</v>
      </c>
      <c r="L2" s="8">
        <f>(2-B2)*1000</f>
        <v>1000</v>
      </c>
      <c r="M2" s="8">
        <v>0.21099999999999999</v>
      </c>
      <c r="N2" s="8">
        <f>(M2-$M$25)</f>
        <v>0.1497</v>
      </c>
      <c r="O2" s="8">
        <f>N2*40</f>
        <v>5.9879999999999995</v>
      </c>
    </row>
    <row r="3" spans="1:15" ht="26" customHeight="1" x14ac:dyDescent="0.2">
      <c r="A3" s="8" t="s">
        <v>45</v>
      </c>
      <c r="B3" s="8">
        <v>1.25</v>
      </c>
      <c r="C3" s="8" t="s">
        <v>46</v>
      </c>
      <c r="D3" s="8"/>
      <c r="E3" s="8" t="s">
        <v>12</v>
      </c>
      <c r="F3" s="8" t="s">
        <v>13</v>
      </c>
      <c r="G3" s="8">
        <v>1</v>
      </c>
      <c r="H3" s="8">
        <v>9</v>
      </c>
      <c r="I3" s="8" t="s">
        <v>22</v>
      </c>
      <c r="J3" s="8" t="s">
        <v>15</v>
      </c>
      <c r="K3" s="8">
        <v>3</v>
      </c>
      <c r="L3" s="8">
        <f t="shared" ref="L3:L24" si="0">(2-B3)*1000</f>
        <v>750</v>
      </c>
      <c r="M3" s="8">
        <v>0.31</v>
      </c>
      <c r="N3" s="8">
        <f t="shared" ref="N3:N25" si="1">(M3-$M$25)</f>
        <v>0.2487</v>
      </c>
      <c r="O3" s="8">
        <f t="shared" ref="O3:O25" si="2">N3*40</f>
        <v>9.9480000000000004</v>
      </c>
    </row>
    <row r="4" spans="1:15" ht="26" customHeight="1" x14ac:dyDescent="0.2">
      <c r="A4" s="8" t="s">
        <v>94</v>
      </c>
      <c r="B4" s="8">
        <v>1.1499999999999999</v>
      </c>
      <c r="C4" s="8" t="s">
        <v>95</v>
      </c>
      <c r="D4" s="8" t="s">
        <v>96</v>
      </c>
      <c r="E4" s="8" t="s">
        <v>87</v>
      </c>
      <c r="F4" s="8" t="s">
        <v>13</v>
      </c>
      <c r="G4" s="8">
        <v>1</v>
      </c>
      <c r="H4" s="8">
        <v>20</v>
      </c>
      <c r="I4" s="8" t="s">
        <v>83</v>
      </c>
      <c r="J4" s="8"/>
      <c r="K4" s="8">
        <v>3</v>
      </c>
      <c r="L4" s="8">
        <f t="shared" si="0"/>
        <v>850.00000000000011</v>
      </c>
      <c r="M4" s="8">
        <v>0.36499999999999999</v>
      </c>
      <c r="N4" s="8">
        <f t="shared" si="1"/>
        <v>0.30369999999999997</v>
      </c>
      <c r="O4" s="8">
        <f t="shared" si="2"/>
        <v>12.148</v>
      </c>
    </row>
    <row r="5" spans="1:15" ht="26" customHeight="1" x14ac:dyDescent="0.2">
      <c r="A5" s="8" t="s">
        <v>293</v>
      </c>
      <c r="B5" s="8">
        <v>1.25</v>
      </c>
      <c r="C5" s="8" t="s">
        <v>294</v>
      </c>
      <c r="D5" s="8" t="s">
        <v>295</v>
      </c>
      <c r="E5" s="8" t="s">
        <v>87</v>
      </c>
      <c r="F5" s="8" t="s">
        <v>13</v>
      </c>
      <c r="G5" s="8">
        <v>1</v>
      </c>
      <c r="H5" s="8">
        <v>20</v>
      </c>
      <c r="I5" s="8" t="s">
        <v>223</v>
      </c>
      <c r="J5" s="8"/>
      <c r="K5" s="8">
        <v>3</v>
      </c>
      <c r="L5" s="8">
        <f t="shared" si="0"/>
        <v>750</v>
      </c>
      <c r="M5" s="8">
        <v>0.91300000000000003</v>
      </c>
      <c r="N5" s="8">
        <f t="shared" si="1"/>
        <v>0.85170000000000001</v>
      </c>
      <c r="O5" s="8">
        <f t="shared" si="2"/>
        <v>34.067999999999998</v>
      </c>
    </row>
    <row r="6" spans="1:15" ht="26" customHeight="1" x14ac:dyDescent="0.2">
      <c r="A6" s="8" t="s">
        <v>133</v>
      </c>
      <c r="B6" s="8">
        <v>1.25</v>
      </c>
      <c r="C6" s="8" t="s">
        <v>134</v>
      </c>
      <c r="D6" s="8" t="s">
        <v>135</v>
      </c>
      <c r="E6" s="8" t="s">
        <v>87</v>
      </c>
      <c r="F6" s="8" t="s">
        <v>13</v>
      </c>
      <c r="G6" s="8">
        <v>1</v>
      </c>
      <c r="H6" s="8">
        <v>22</v>
      </c>
      <c r="I6" s="8" t="s">
        <v>83</v>
      </c>
      <c r="J6" s="8"/>
      <c r="K6" s="8">
        <v>3</v>
      </c>
      <c r="L6" s="8">
        <f t="shared" si="0"/>
        <v>750</v>
      </c>
      <c r="M6" s="8">
        <v>0.312</v>
      </c>
      <c r="N6" s="8">
        <f t="shared" si="1"/>
        <v>0.25069999999999998</v>
      </c>
      <c r="O6" s="8">
        <f t="shared" si="2"/>
        <v>10.027999999999999</v>
      </c>
    </row>
    <row r="7" spans="1:15" ht="26" customHeight="1" x14ac:dyDescent="0.2">
      <c r="A7" s="8" t="s">
        <v>326</v>
      </c>
      <c r="B7" s="8">
        <v>1.25</v>
      </c>
      <c r="C7" s="8" t="s">
        <v>327</v>
      </c>
      <c r="D7" s="8" t="s">
        <v>328</v>
      </c>
      <c r="E7" s="8" t="s">
        <v>87</v>
      </c>
      <c r="F7" s="8" t="s">
        <v>13</v>
      </c>
      <c r="G7" s="8">
        <v>1</v>
      </c>
      <c r="H7" s="8">
        <v>22</v>
      </c>
      <c r="I7" s="8" t="s">
        <v>223</v>
      </c>
      <c r="J7" s="8"/>
      <c r="K7" s="8">
        <v>3</v>
      </c>
      <c r="L7" s="8">
        <f t="shared" si="0"/>
        <v>750</v>
      </c>
      <c r="M7" s="8">
        <v>1.1299999999999999</v>
      </c>
      <c r="N7" s="8">
        <f t="shared" si="1"/>
        <v>1.0687</v>
      </c>
      <c r="O7" s="8">
        <f t="shared" si="2"/>
        <v>42.747999999999998</v>
      </c>
    </row>
    <row r="8" spans="1:15" ht="26" customHeight="1" x14ac:dyDescent="0.2">
      <c r="A8" s="8" t="s">
        <v>121</v>
      </c>
      <c r="B8" s="8">
        <v>1.25</v>
      </c>
      <c r="C8" s="8" t="s">
        <v>122</v>
      </c>
      <c r="D8" s="8" t="s">
        <v>123</v>
      </c>
      <c r="E8" s="8" t="s">
        <v>87</v>
      </c>
      <c r="F8" s="8" t="s">
        <v>13</v>
      </c>
      <c r="G8" s="8">
        <v>1</v>
      </c>
      <c r="H8" s="8">
        <v>27</v>
      </c>
      <c r="I8" s="8" t="s">
        <v>83</v>
      </c>
      <c r="J8" s="8"/>
      <c r="K8" s="8">
        <v>3</v>
      </c>
      <c r="L8" s="8">
        <f t="shared" si="0"/>
        <v>750</v>
      </c>
      <c r="M8" s="8">
        <v>0.22800000000000001</v>
      </c>
      <c r="N8" s="8">
        <f t="shared" si="1"/>
        <v>0.16670000000000001</v>
      </c>
      <c r="O8" s="8">
        <f t="shared" si="2"/>
        <v>6.668000000000001</v>
      </c>
    </row>
    <row r="9" spans="1:15" ht="26" customHeight="1" x14ac:dyDescent="0.2">
      <c r="A9" s="8" t="s">
        <v>317</v>
      </c>
      <c r="B9" s="8">
        <v>1.2</v>
      </c>
      <c r="C9" s="8" t="s">
        <v>318</v>
      </c>
      <c r="D9" s="8" t="s">
        <v>319</v>
      </c>
      <c r="E9" s="8" t="s">
        <v>87</v>
      </c>
      <c r="F9" s="8" t="s">
        <v>13</v>
      </c>
      <c r="G9" s="8">
        <v>1</v>
      </c>
      <c r="H9" s="8">
        <v>27</v>
      </c>
      <c r="I9" s="8" t="s">
        <v>223</v>
      </c>
      <c r="J9" s="8"/>
      <c r="K9" s="8">
        <v>3</v>
      </c>
      <c r="L9" s="8">
        <f t="shared" si="0"/>
        <v>800</v>
      </c>
      <c r="M9" s="8">
        <v>0.58499999999999996</v>
      </c>
      <c r="N9" s="8">
        <f t="shared" si="1"/>
        <v>0.52369999999999994</v>
      </c>
      <c r="O9" s="8">
        <f t="shared" si="2"/>
        <v>20.947999999999997</v>
      </c>
    </row>
    <row r="10" spans="1:15" ht="26" customHeight="1" x14ac:dyDescent="0.2">
      <c r="A10" s="8" t="s">
        <v>323</v>
      </c>
      <c r="B10" s="8">
        <v>1.25</v>
      </c>
      <c r="C10" s="8" t="s">
        <v>324</v>
      </c>
      <c r="D10" s="8" t="s">
        <v>325</v>
      </c>
      <c r="E10" s="8" t="s">
        <v>87</v>
      </c>
      <c r="F10" s="8" t="s">
        <v>13</v>
      </c>
      <c r="G10" s="8">
        <v>1</v>
      </c>
      <c r="H10" s="8">
        <v>32</v>
      </c>
      <c r="I10" s="8" t="s">
        <v>223</v>
      </c>
      <c r="J10" s="8"/>
      <c r="K10" s="8">
        <v>3</v>
      </c>
      <c r="L10" s="8">
        <f t="shared" si="0"/>
        <v>750</v>
      </c>
      <c r="M10" s="8">
        <v>0.71299999999999997</v>
      </c>
      <c r="N10" s="8">
        <f t="shared" si="1"/>
        <v>0.65169999999999995</v>
      </c>
      <c r="O10" s="8">
        <f t="shared" si="2"/>
        <v>26.067999999999998</v>
      </c>
    </row>
    <row r="11" spans="1:15" ht="26" customHeight="1" x14ac:dyDescent="0.2">
      <c r="A11" s="8" t="s">
        <v>142</v>
      </c>
      <c r="B11" s="8">
        <v>1.25</v>
      </c>
      <c r="C11" s="8" t="s">
        <v>143</v>
      </c>
      <c r="D11" s="8" t="s">
        <v>144</v>
      </c>
      <c r="E11" s="8" t="s">
        <v>87</v>
      </c>
      <c r="F11" s="8" t="s">
        <v>13</v>
      </c>
      <c r="G11" s="8">
        <v>1</v>
      </c>
      <c r="H11" s="8">
        <v>32</v>
      </c>
      <c r="I11" s="8" t="s">
        <v>83</v>
      </c>
      <c r="J11" s="8"/>
      <c r="K11" s="8">
        <v>3</v>
      </c>
      <c r="L11" s="8">
        <f t="shared" si="0"/>
        <v>750</v>
      </c>
      <c r="M11" s="8">
        <v>0.29399999999999998</v>
      </c>
      <c r="N11" s="8">
        <f t="shared" si="1"/>
        <v>0.23269999999999999</v>
      </c>
      <c r="O11" s="8">
        <f t="shared" si="2"/>
        <v>9.3079999999999998</v>
      </c>
    </row>
    <row r="12" spans="1:15" ht="26" customHeight="1" x14ac:dyDescent="0.2">
      <c r="A12" s="8" t="s">
        <v>145</v>
      </c>
      <c r="B12" s="8">
        <v>1</v>
      </c>
      <c r="C12" s="8" t="s">
        <v>146</v>
      </c>
      <c r="D12" s="8" t="s">
        <v>147</v>
      </c>
      <c r="E12" s="8" t="s">
        <v>87</v>
      </c>
      <c r="F12" s="8" t="s">
        <v>13</v>
      </c>
      <c r="G12" s="8">
        <v>1</v>
      </c>
      <c r="H12" s="8">
        <v>41</v>
      </c>
      <c r="I12" s="8" t="s">
        <v>83</v>
      </c>
      <c r="J12" s="8"/>
      <c r="K12" s="8">
        <v>3</v>
      </c>
      <c r="L12" s="8">
        <f t="shared" si="0"/>
        <v>1000</v>
      </c>
      <c r="M12" s="8">
        <v>0.371</v>
      </c>
      <c r="N12" s="8">
        <f t="shared" si="1"/>
        <v>0.30969999999999998</v>
      </c>
      <c r="O12" s="8">
        <f t="shared" si="2"/>
        <v>12.387999999999998</v>
      </c>
    </row>
    <row r="13" spans="1:15" ht="26" customHeight="1" x14ac:dyDescent="0.2">
      <c r="A13" s="8" t="s">
        <v>320</v>
      </c>
      <c r="B13" s="8">
        <v>1</v>
      </c>
      <c r="C13" s="8" t="s">
        <v>321</v>
      </c>
      <c r="D13" s="8" t="s">
        <v>322</v>
      </c>
      <c r="E13" s="8" t="s">
        <v>87</v>
      </c>
      <c r="F13" s="8" t="s">
        <v>13</v>
      </c>
      <c r="G13" s="8">
        <v>2</v>
      </c>
      <c r="H13" s="8">
        <v>41</v>
      </c>
      <c r="I13" s="8" t="s">
        <v>223</v>
      </c>
      <c r="J13" s="8"/>
      <c r="K13" s="8">
        <v>3</v>
      </c>
      <c r="L13" s="8">
        <f t="shared" si="0"/>
        <v>1000</v>
      </c>
      <c r="M13" s="8">
        <v>0.36799999999999999</v>
      </c>
      <c r="N13" s="8">
        <f t="shared" si="1"/>
        <v>0.30669999999999997</v>
      </c>
      <c r="O13" s="8">
        <f t="shared" si="2"/>
        <v>12.267999999999999</v>
      </c>
    </row>
    <row r="14" spans="1:15" ht="26" customHeight="1" x14ac:dyDescent="0.2">
      <c r="A14" s="8" t="s">
        <v>383</v>
      </c>
      <c r="B14" s="8">
        <v>1.3</v>
      </c>
      <c r="C14" s="8" t="s">
        <v>384</v>
      </c>
      <c r="D14" s="8" t="s">
        <v>385</v>
      </c>
      <c r="E14" s="8" t="s">
        <v>12</v>
      </c>
      <c r="F14" s="8" t="s">
        <v>13</v>
      </c>
      <c r="G14" s="8">
        <v>1</v>
      </c>
      <c r="H14" s="8">
        <v>47</v>
      </c>
      <c r="I14" s="8" t="s">
        <v>83</v>
      </c>
      <c r="J14" s="8"/>
      <c r="K14" s="8">
        <v>3</v>
      </c>
      <c r="L14" s="8">
        <f t="shared" si="0"/>
        <v>700</v>
      </c>
      <c r="M14" s="8">
        <v>0.24299999999999999</v>
      </c>
      <c r="N14" s="8">
        <f t="shared" si="1"/>
        <v>0.1817</v>
      </c>
      <c r="O14" s="8">
        <f t="shared" si="2"/>
        <v>7.2679999999999998</v>
      </c>
    </row>
    <row r="15" spans="1:15" ht="26" customHeight="1" x14ac:dyDescent="0.2">
      <c r="A15" s="8" t="s">
        <v>260</v>
      </c>
      <c r="B15" s="8">
        <v>1.4</v>
      </c>
      <c r="C15" s="8" t="s">
        <v>261</v>
      </c>
      <c r="D15" s="8" t="s">
        <v>262</v>
      </c>
      <c r="E15" s="8" t="s">
        <v>12</v>
      </c>
      <c r="F15" s="8" t="s">
        <v>13</v>
      </c>
      <c r="G15" s="8">
        <v>1</v>
      </c>
      <c r="H15" s="8">
        <v>47</v>
      </c>
      <c r="I15" s="8" t="s">
        <v>223</v>
      </c>
      <c r="J15" s="8"/>
      <c r="K15" s="8">
        <v>3</v>
      </c>
      <c r="L15" s="8">
        <f t="shared" si="0"/>
        <v>600.00000000000011</v>
      </c>
      <c r="M15" s="8">
        <v>0.41799999999999998</v>
      </c>
      <c r="N15" s="8">
        <f t="shared" si="1"/>
        <v>0.35669999999999996</v>
      </c>
      <c r="O15" s="8">
        <f t="shared" si="2"/>
        <v>14.267999999999999</v>
      </c>
    </row>
    <row r="16" spans="1:15" ht="26" customHeight="1" x14ac:dyDescent="0.2">
      <c r="A16" s="8" t="s">
        <v>257</v>
      </c>
      <c r="B16" s="8">
        <v>1</v>
      </c>
      <c r="C16" s="8" t="s">
        <v>258</v>
      </c>
      <c r="D16" s="8" t="s">
        <v>259</v>
      </c>
      <c r="E16" s="8" t="s">
        <v>12</v>
      </c>
      <c r="F16" s="8" t="s">
        <v>13</v>
      </c>
      <c r="G16" s="8">
        <v>2</v>
      </c>
      <c r="H16" s="8">
        <v>48</v>
      </c>
      <c r="I16" s="8" t="s">
        <v>223</v>
      </c>
      <c r="J16" s="8"/>
      <c r="K16" s="8">
        <v>3</v>
      </c>
      <c r="L16" s="8">
        <f t="shared" si="0"/>
        <v>1000</v>
      </c>
      <c r="M16" s="8">
        <v>0.158</v>
      </c>
      <c r="N16" s="8">
        <f t="shared" si="1"/>
        <v>9.6700000000000008E-2</v>
      </c>
      <c r="O16" s="8">
        <f t="shared" si="2"/>
        <v>3.8680000000000003</v>
      </c>
    </row>
    <row r="17" spans="1:15" ht="26" customHeight="1" x14ac:dyDescent="0.2">
      <c r="A17" s="8" t="s">
        <v>371</v>
      </c>
      <c r="B17" s="8">
        <v>1.3</v>
      </c>
      <c r="C17" s="8" t="s">
        <v>372</v>
      </c>
      <c r="D17" s="8" t="s">
        <v>373</v>
      </c>
      <c r="E17" s="8" t="s">
        <v>12</v>
      </c>
      <c r="F17" s="8" t="s">
        <v>13</v>
      </c>
      <c r="G17" s="8">
        <v>1</v>
      </c>
      <c r="H17" s="8">
        <v>48</v>
      </c>
      <c r="I17" s="8" t="s">
        <v>83</v>
      </c>
      <c r="J17" s="8"/>
      <c r="K17" s="8">
        <v>3</v>
      </c>
      <c r="L17" s="8">
        <f t="shared" si="0"/>
        <v>700</v>
      </c>
      <c r="M17" s="8">
        <v>0.16300000000000001</v>
      </c>
      <c r="N17" s="8">
        <f t="shared" si="1"/>
        <v>0.10170000000000001</v>
      </c>
      <c r="O17" s="8">
        <f t="shared" si="2"/>
        <v>4.0680000000000005</v>
      </c>
    </row>
    <row r="18" spans="1:15" ht="26" customHeight="1" x14ac:dyDescent="0.2">
      <c r="A18" s="8" t="s">
        <v>33</v>
      </c>
      <c r="B18" s="8">
        <v>1.25</v>
      </c>
      <c r="C18" s="8" t="s">
        <v>34</v>
      </c>
      <c r="D18" s="8"/>
      <c r="E18" s="8" t="s">
        <v>12</v>
      </c>
      <c r="F18" s="8" t="s">
        <v>13</v>
      </c>
      <c r="G18" s="8">
        <v>1</v>
      </c>
      <c r="H18" s="8"/>
      <c r="I18" s="8" t="s">
        <v>14</v>
      </c>
      <c r="J18" s="8" t="s">
        <v>15</v>
      </c>
      <c r="K18" s="8">
        <v>3</v>
      </c>
      <c r="L18" s="8">
        <f t="shared" si="0"/>
        <v>750</v>
      </c>
      <c r="M18" s="8">
        <v>0.52200000000000002</v>
      </c>
      <c r="N18" s="8">
        <f t="shared" si="1"/>
        <v>0.4607</v>
      </c>
      <c r="O18" s="8">
        <f t="shared" si="2"/>
        <v>18.428000000000001</v>
      </c>
    </row>
    <row r="19" spans="1:15" ht="26" customHeight="1" x14ac:dyDescent="0.2">
      <c r="A19" s="8" t="s">
        <v>10</v>
      </c>
      <c r="B19" s="8">
        <v>1.25</v>
      </c>
      <c r="C19" s="8" t="s">
        <v>11</v>
      </c>
      <c r="D19" s="8"/>
      <c r="E19" s="8" t="s">
        <v>12</v>
      </c>
      <c r="F19" s="8" t="s">
        <v>13</v>
      </c>
      <c r="G19" s="8">
        <v>1</v>
      </c>
      <c r="H19" s="8"/>
      <c r="I19" s="8" t="s">
        <v>14</v>
      </c>
      <c r="J19" s="8" t="s">
        <v>15</v>
      </c>
      <c r="K19" s="8">
        <v>3</v>
      </c>
      <c r="L19" s="8">
        <f t="shared" si="0"/>
        <v>750</v>
      </c>
      <c r="M19" s="8">
        <v>0.50700000000000001</v>
      </c>
      <c r="N19" s="8">
        <f t="shared" si="1"/>
        <v>0.44569999999999999</v>
      </c>
      <c r="O19" s="8">
        <f t="shared" si="2"/>
        <v>17.827999999999999</v>
      </c>
    </row>
    <row r="20" spans="1:15" ht="26" customHeight="1" x14ac:dyDescent="0.2">
      <c r="A20" s="8" t="s">
        <v>69</v>
      </c>
      <c r="B20" s="8">
        <v>1.25</v>
      </c>
      <c r="C20" s="8" t="s">
        <v>70</v>
      </c>
      <c r="D20" s="8"/>
      <c r="E20" s="8" t="s">
        <v>12</v>
      </c>
      <c r="F20" s="8" t="s">
        <v>13</v>
      </c>
      <c r="G20" s="8">
        <v>1</v>
      </c>
      <c r="H20" s="8"/>
      <c r="I20" s="8" t="s">
        <v>14</v>
      </c>
      <c r="J20" s="8" t="s">
        <v>15</v>
      </c>
      <c r="K20" s="8">
        <v>3</v>
      </c>
      <c r="L20" s="8">
        <f t="shared" si="0"/>
        <v>750</v>
      </c>
      <c r="M20" s="8">
        <v>0.30299999999999999</v>
      </c>
      <c r="N20" s="8">
        <f t="shared" si="1"/>
        <v>0.2417</v>
      </c>
      <c r="O20" s="8">
        <f t="shared" si="2"/>
        <v>9.6679999999999993</v>
      </c>
    </row>
    <row r="21" spans="1:15" ht="26" customHeight="1" x14ac:dyDescent="0.2">
      <c r="A21" s="8" t="s">
        <v>190</v>
      </c>
      <c r="B21" s="8">
        <v>1</v>
      </c>
      <c r="C21" s="8" t="s">
        <v>191</v>
      </c>
      <c r="D21" s="8" t="s">
        <v>192</v>
      </c>
      <c r="E21" s="8" t="s">
        <v>12</v>
      </c>
      <c r="F21" s="8" t="s">
        <v>13</v>
      </c>
      <c r="G21" s="8">
        <v>2</v>
      </c>
      <c r="H21" s="8"/>
      <c r="I21" s="8" t="s">
        <v>14</v>
      </c>
      <c r="J21" s="8"/>
      <c r="K21" s="8">
        <v>3</v>
      </c>
      <c r="L21" s="8">
        <f t="shared" si="0"/>
        <v>1000</v>
      </c>
      <c r="M21" s="8">
        <v>1.01</v>
      </c>
      <c r="N21" s="8">
        <f t="shared" si="1"/>
        <v>0.94869999999999999</v>
      </c>
      <c r="O21" s="8">
        <f t="shared" si="2"/>
        <v>37.948</v>
      </c>
    </row>
    <row r="22" spans="1:15" ht="26" customHeight="1" x14ac:dyDescent="0.2">
      <c r="A22" s="8" t="s">
        <v>205</v>
      </c>
      <c r="B22" s="8">
        <v>1</v>
      </c>
      <c r="C22" s="8" t="s">
        <v>206</v>
      </c>
      <c r="D22" s="8" t="s">
        <v>207</v>
      </c>
      <c r="E22" s="8" t="s">
        <v>12</v>
      </c>
      <c r="F22" s="8" t="s">
        <v>13</v>
      </c>
      <c r="G22" s="8">
        <v>2</v>
      </c>
      <c r="H22" s="8"/>
      <c r="I22" s="8" t="s">
        <v>14</v>
      </c>
      <c r="J22" s="8"/>
      <c r="K22" s="8">
        <v>3</v>
      </c>
      <c r="L22" s="8">
        <f t="shared" si="0"/>
        <v>1000</v>
      </c>
      <c r="M22" s="8">
        <v>0.123</v>
      </c>
      <c r="N22" s="8">
        <f t="shared" si="1"/>
        <v>6.1699999999999998E-2</v>
      </c>
      <c r="O22" s="8">
        <f t="shared" si="2"/>
        <v>2.468</v>
      </c>
    </row>
    <row r="23" spans="1:15" ht="26" customHeight="1" x14ac:dyDescent="0.2">
      <c r="A23" s="8" t="s">
        <v>178</v>
      </c>
      <c r="B23" s="8">
        <v>1</v>
      </c>
      <c r="C23" s="8" t="s">
        <v>179</v>
      </c>
      <c r="D23" s="8" t="s">
        <v>180</v>
      </c>
      <c r="E23" s="8" t="s">
        <v>12</v>
      </c>
      <c r="F23" s="8" t="s">
        <v>13</v>
      </c>
      <c r="G23" s="8">
        <v>2</v>
      </c>
      <c r="H23" s="8"/>
      <c r="I23" s="8" t="s">
        <v>14</v>
      </c>
      <c r="J23" s="8"/>
      <c r="K23" s="8">
        <v>3</v>
      </c>
      <c r="L23" s="8">
        <f t="shared" si="0"/>
        <v>1000</v>
      </c>
      <c r="M23" s="8">
        <v>0.24</v>
      </c>
      <c r="N23" s="8">
        <f t="shared" si="1"/>
        <v>0.1787</v>
      </c>
      <c r="O23" s="8">
        <f t="shared" si="2"/>
        <v>7.1479999999999997</v>
      </c>
    </row>
    <row r="24" spans="1:15" ht="26" customHeight="1" x14ac:dyDescent="0.2">
      <c r="A24" s="8" t="s">
        <v>73</v>
      </c>
      <c r="B24" s="8">
        <v>1.25</v>
      </c>
      <c r="C24" s="8" t="s">
        <v>74</v>
      </c>
      <c r="D24" s="8"/>
      <c r="E24" s="8" t="s">
        <v>12</v>
      </c>
      <c r="F24" s="8" t="s">
        <v>13</v>
      </c>
      <c r="G24" s="8">
        <v>1</v>
      </c>
      <c r="H24" s="8"/>
      <c r="I24" s="8" t="s">
        <v>14</v>
      </c>
      <c r="J24" s="8" t="s">
        <v>15</v>
      </c>
      <c r="K24" s="8">
        <v>3</v>
      </c>
      <c r="L24" s="8">
        <f t="shared" si="0"/>
        <v>750</v>
      </c>
      <c r="M24" s="8">
        <v>0.52800000000000002</v>
      </c>
      <c r="N24" s="8">
        <f t="shared" si="1"/>
        <v>0.4667</v>
      </c>
      <c r="O24" s="8">
        <f t="shared" si="2"/>
        <v>18.667999999999999</v>
      </c>
    </row>
    <row r="25" spans="1:15" x14ac:dyDescent="0.2">
      <c r="A25" s="8" t="s">
        <v>453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>
        <v>6.13E-2</v>
      </c>
      <c r="N25" s="8">
        <f t="shared" si="1"/>
        <v>0</v>
      </c>
      <c r="O25" s="8">
        <f t="shared" si="2"/>
        <v>0</v>
      </c>
    </row>
  </sheetData>
  <sortState xmlns:xlrd2="http://schemas.microsoft.com/office/spreadsheetml/2017/richdata2" ref="A2:K24">
    <sortCondition ref="H2:H24"/>
  </sortState>
  <conditionalFormatting sqref="A1">
    <cfRule type="duplicateValues" dxfId="7" priority="3"/>
  </conditionalFormatting>
  <conditionalFormatting sqref="A2:A25">
    <cfRule type="duplicateValues" dxfId="6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B6DA-0104-4945-B7EB-476D15C6E0C9}">
  <dimension ref="A1:O25"/>
  <sheetViews>
    <sheetView workbookViewId="0">
      <selection activeCell="I27" sqref="I27"/>
    </sheetView>
  </sheetViews>
  <sheetFormatPr baseColWidth="10" defaultRowHeight="15" x14ac:dyDescent="0.2"/>
  <cols>
    <col min="1" max="1" width="20.83203125" bestFit="1" customWidth="1"/>
    <col min="2" max="2" width="13.33203125" customWidth="1"/>
    <col min="3" max="3" width="32.83203125" customWidth="1"/>
    <col min="4" max="4" width="17.6640625" bestFit="1" customWidth="1"/>
    <col min="5" max="5" width="11.1640625" bestFit="1" customWidth="1"/>
    <col min="6" max="6" width="10.6640625" bestFit="1" customWidth="1"/>
    <col min="7" max="7" width="8.1640625" bestFit="1" customWidth="1"/>
    <col min="8" max="8" width="5.5" bestFit="1" customWidth="1"/>
    <col min="9" max="9" width="16.5" bestFit="1" customWidth="1"/>
    <col min="10" max="10" width="9.83203125" bestFit="1" customWidth="1"/>
    <col min="11" max="11" width="5.5" bestFit="1" customWidth="1"/>
    <col min="12" max="12" width="27" bestFit="1" customWidth="1"/>
    <col min="13" max="13" width="33.33203125" bestFit="1" customWidth="1"/>
    <col min="14" max="14" width="31.5" bestFit="1" customWidth="1"/>
    <col min="15" max="15" width="44.6640625" bestFit="1" customWidth="1"/>
  </cols>
  <sheetData>
    <row r="1" spans="1:15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395</v>
      </c>
      <c r="L1" s="8" t="s">
        <v>509</v>
      </c>
      <c r="M1" s="8" t="s">
        <v>512</v>
      </c>
      <c r="N1" s="8" t="s">
        <v>513</v>
      </c>
      <c r="O1" s="8" t="s">
        <v>515</v>
      </c>
    </row>
    <row r="2" spans="1:15" ht="29" customHeight="1" x14ac:dyDescent="0.2">
      <c r="A2" s="8" t="s">
        <v>214</v>
      </c>
      <c r="B2" s="8">
        <v>1.25</v>
      </c>
      <c r="C2" s="9" t="s">
        <v>215</v>
      </c>
      <c r="D2" s="8" t="s">
        <v>216</v>
      </c>
      <c r="E2" s="8" t="s">
        <v>12</v>
      </c>
      <c r="F2" s="8" t="s">
        <v>13</v>
      </c>
      <c r="G2" s="8">
        <v>1</v>
      </c>
      <c r="H2" s="8">
        <v>4</v>
      </c>
      <c r="I2" s="8" t="s">
        <v>83</v>
      </c>
      <c r="J2" s="8"/>
      <c r="K2" s="8">
        <v>4</v>
      </c>
      <c r="L2" s="8">
        <f>(2-B2)*1000</f>
        <v>750</v>
      </c>
      <c r="M2" s="8">
        <v>0.46700000000000003</v>
      </c>
      <c r="N2" s="8">
        <f>M2-$M$25</f>
        <v>0.40370000000000006</v>
      </c>
      <c r="O2" s="8">
        <f>(M2-$M$25)*40</f>
        <v>16.148000000000003</v>
      </c>
    </row>
    <row r="3" spans="1:15" ht="29" customHeight="1" x14ac:dyDescent="0.2">
      <c r="A3" s="8" t="s">
        <v>251</v>
      </c>
      <c r="B3" s="8">
        <v>1.1000000000000001</v>
      </c>
      <c r="C3" s="9" t="s">
        <v>252</v>
      </c>
      <c r="D3" s="8" t="s">
        <v>253</v>
      </c>
      <c r="E3" s="8" t="s">
        <v>12</v>
      </c>
      <c r="F3" s="8" t="s">
        <v>13</v>
      </c>
      <c r="G3" s="8">
        <v>1</v>
      </c>
      <c r="H3" s="8">
        <v>4</v>
      </c>
      <c r="I3" s="8" t="s">
        <v>223</v>
      </c>
      <c r="J3" s="8"/>
      <c r="K3" s="8">
        <v>4</v>
      </c>
      <c r="L3" s="8">
        <f t="shared" ref="L3:L25" si="0">(2-B3)*1000</f>
        <v>899.99999999999989</v>
      </c>
      <c r="M3" s="8">
        <v>0.317</v>
      </c>
      <c r="N3" s="8">
        <f t="shared" ref="N3:N25" si="1">M3-$M$25</f>
        <v>0.25370000000000004</v>
      </c>
      <c r="O3" s="8">
        <f t="shared" ref="O3:O25" si="2">(M3-$M$25)*40</f>
        <v>10.148000000000001</v>
      </c>
    </row>
    <row r="4" spans="1:15" ht="29" customHeight="1" x14ac:dyDescent="0.2">
      <c r="A4" s="8" t="s">
        <v>43</v>
      </c>
      <c r="B4" s="8">
        <v>1.25</v>
      </c>
      <c r="C4" s="9" t="s">
        <v>44</v>
      </c>
      <c r="D4" s="8"/>
      <c r="E4" s="8" t="s">
        <v>12</v>
      </c>
      <c r="F4" s="8" t="s">
        <v>13</v>
      </c>
      <c r="G4" s="8">
        <v>1</v>
      </c>
      <c r="H4" s="8">
        <v>10</v>
      </c>
      <c r="I4" s="8" t="s">
        <v>22</v>
      </c>
      <c r="J4" s="8" t="s">
        <v>15</v>
      </c>
      <c r="K4" s="8">
        <v>4</v>
      </c>
      <c r="L4" s="8">
        <f t="shared" si="0"/>
        <v>750</v>
      </c>
      <c r="M4" s="8">
        <v>0.40699999999999997</v>
      </c>
      <c r="N4" s="8">
        <f t="shared" si="1"/>
        <v>0.34370000000000001</v>
      </c>
      <c r="O4" s="8">
        <f t="shared" si="2"/>
        <v>13.748000000000001</v>
      </c>
    </row>
    <row r="5" spans="1:15" ht="29" customHeight="1" x14ac:dyDescent="0.2">
      <c r="A5" s="8" t="s">
        <v>266</v>
      </c>
      <c r="B5" s="8">
        <v>1.3</v>
      </c>
      <c r="C5" s="9" t="s">
        <v>267</v>
      </c>
      <c r="D5" s="8" t="s">
        <v>268</v>
      </c>
      <c r="E5" s="8" t="s">
        <v>12</v>
      </c>
      <c r="F5" s="8" t="s">
        <v>13</v>
      </c>
      <c r="G5" s="8">
        <v>1</v>
      </c>
      <c r="H5" s="8">
        <v>10</v>
      </c>
      <c r="I5" s="8" t="s">
        <v>223</v>
      </c>
      <c r="J5" s="8"/>
      <c r="K5" s="8">
        <v>4</v>
      </c>
      <c r="L5" s="8">
        <f t="shared" si="0"/>
        <v>700</v>
      </c>
      <c r="M5" s="8">
        <v>0.78700000000000003</v>
      </c>
      <c r="N5" s="8">
        <f t="shared" si="1"/>
        <v>0.72370000000000001</v>
      </c>
      <c r="O5" s="8">
        <f t="shared" si="2"/>
        <v>28.948</v>
      </c>
    </row>
    <row r="6" spans="1:15" ht="29" customHeight="1" x14ac:dyDescent="0.2">
      <c r="A6" s="8" t="s">
        <v>389</v>
      </c>
      <c r="B6" s="8">
        <v>1.1499999999999999</v>
      </c>
      <c r="C6" s="9" t="s">
        <v>390</v>
      </c>
      <c r="D6" s="8" t="s">
        <v>391</v>
      </c>
      <c r="E6" s="8" t="s">
        <v>12</v>
      </c>
      <c r="F6" s="8" t="s">
        <v>13</v>
      </c>
      <c r="G6" s="8">
        <v>1</v>
      </c>
      <c r="H6" s="8">
        <v>11</v>
      </c>
      <c r="I6" s="8" t="s">
        <v>83</v>
      </c>
      <c r="J6" s="8"/>
      <c r="K6" s="8">
        <v>4</v>
      </c>
      <c r="L6" s="8">
        <f t="shared" si="0"/>
        <v>850.00000000000011</v>
      </c>
      <c r="M6" s="8">
        <v>0.38500000000000001</v>
      </c>
      <c r="N6" s="8">
        <f t="shared" si="1"/>
        <v>0.32169999999999999</v>
      </c>
      <c r="O6" s="8">
        <f t="shared" si="2"/>
        <v>12.867999999999999</v>
      </c>
    </row>
    <row r="7" spans="1:15" ht="29" customHeight="1" x14ac:dyDescent="0.2">
      <c r="A7" s="8" t="s">
        <v>245</v>
      </c>
      <c r="B7" s="8">
        <v>1.4</v>
      </c>
      <c r="C7" s="9" t="s">
        <v>246</v>
      </c>
      <c r="D7" s="8" t="s">
        <v>247</v>
      </c>
      <c r="E7" s="8" t="s">
        <v>12</v>
      </c>
      <c r="F7" s="8" t="s">
        <v>13</v>
      </c>
      <c r="G7" s="8">
        <v>1</v>
      </c>
      <c r="H7" s="8">
        <v>11</v>
      </c>
      <c r="I7" s="8" t="s">
        <v>223</v>
      </c>
      <c r="J7" s="8"/>
      <c r="K7" s="8">
        <v>4</v>
      </c>
      <c r="L7" s="8">
        <f t="shared" si="0"/>
        <v>600.00000000000011</v>
      </c>
      <c r="M7" s="8">
        <v>0.50700000000000001</v>
      </c>
      <c r="N7" s="8">
        <f t="shared" si="1"/>
        <v>0.44369999999999998</v>
      </c>
      <c r="O7" s="8">
        <f t="shared" si="2"/>
        <v>17.747999999999998</v>
      </c>
    </row>
    <row r="8" spans="1:15" ht="29" customHeight="1" x14ac:dyDescent="0.2">
      <c r="A8" s="8" t="s">
        <v>311</v>
      </c>
      <c r="B8" s="8">
        <v>1</v>
      </c>
      <c r="C8" s="9" t="s">
        <v>312</v>
      </c>
      <c r="D8" s="8" t="s">
        <v>313</v>
      </c>
      <c r="E8" s="8" t="s">
        <v>87</v>
      </c>
      <c r="F8" s="8" t="s">
        <v>13</v>
      </c>
      <c r="G8" s="8">
        <v>2</v>
      </c>
      <c r="H8" s="8">
        <v>21</v>
      </c>
      <c r="I8" s="8" t="s">
        <v>223</v>
      </c>
      <c r="J8" s="8"/>
      <c r="K8" s="8">
        <v>4</v>
      </c>
      <c r="L8" s="8">
        <f t="shared" si="0"/>
        <v>1000</v>
      </c>
      <c r="M8" s="8">
        <v>0.55400000000000005</v>
      </c>
      <c r="N8" s="8">
        <f t="shared" si="1"/>
        <v>0.49070000000000003</v>
      </c>
      <c r="O8" s="8">
        <f t="shared" si="2"/>
        <v>19.628</v>
      </c>
    </row>
    <row r="9" spans="1:15" ht="29" customHeight="1" x14ac:dyDescent="0.2">
      <c r="A9" s="8" t="s">
        <v>112</v>
      </c>
      <c r="B9" s="8">
        <v>1.35</v>
      </c>
      <c r="C9" s="9" t="s">
        <v>113</v>
      </c>
      <c r="D9" s="8" t="s">
        <v>114</v>
      </c>
      <c r="E9" s="8" t="s">
        <v>87</v>
      </c>
      <c r="F9" s="8" t="s">
        <v>13</v>
      </c>
      <c r="G9" s="8">
        <v>1</v>
      </c>
      <c r="H9" s="8">
        <v>21</v>
      </c>
      <c r="I9" s="8" t="s">
        <v>83</v>
      </c>
      <c r="J9" s="8"/>
      <c r="K9" s="8">
        <v>4</v>
      </c>
      <c r="L9" s="8">
        <f t="shared" si="0"/>
        <v>649.99999999999989</v>
      </c>
      <c r="M9" s="8">
        <v>0.34100000000000003</v>
      </c>
      <c r="N9" s="8">
        <f t="shared" si="1"/>
        <v>0.27770000000000006</v>
      </c>
      <c r="O9" s="8">
        <f t="shared" si="2"/>
        <v>11.108000000000002</v>
      </c>
    </row>
    <row r="10" spans="1:15" ht="29" customHeight="1" x14ac:dyDescent="0.2">
      <c r="A10" s="8" t="s">
        <v>350</v>
      </c>
      <c r="B10" s="8">
        <v>1.3</v>
      </c>
      <c r="C10" s="9" t="s">
        <v>351</v>
      </c>
      <c r="D10" s="8" t="s">
        <v>352</v>
      </c>
      <c r="E10" s="8" t="s">
        <v>87</v>
      </c>
      <c r="F10" s="8" t="s">
        <v>13</v>
      </c>
      <c r="G10" s="8">
        <v>1</v>
      </c>
      <c r="H10" s="8">
        <v>23</v>
      </c>
      <c r="I10" s="8" t="s">
        <v>223</v>
      </c>
      <c r="J10" s="8"/>
      <c r="K10" s="8">
        <v>4</v>
      </c>
      <c r="L10" s="8">
        <f t="shared" si="0"/>
        <v>700</v>
      </c>
      <c r="M10" s="8">
        <v>0.20100000000000001</v>
      </c>
      <c r="N10" s="8">
        <f t="shared" si="1"/>
        <v>0.13770000000000002</v>
      </c>
      <c r="O10" s="8">
        <f t="shared" si="2"/>
        <v>5.5080000000000009</v>
      </c>
    </row>
    <row r="11" spans="1:15" ht="29" customHeight="1" x14ac:dyDescent="0.2">
      <c r="A11" s="8" t="s">
        <v>148</v>
      </c>
      <c r="B11" s="8">
        <v>1.2</v>
      </c>
      <c r="C11" s="9" t="s">
        <v>149</v>
      </c>
      <c r="D11" s="8" t="s">
        <v>150</v>
      </c>
      <c r="E11" s="8" t="s">
        <v>87</v>
      </c>
      <c r="F11" s="8" t="s">
        <v>13</v>
      </c>
      <c r="G11" s="8">
        <v>1</v>
      </c>
      <c r="H11" s="8">
        <v>23</v>
      </c>
      <c r="I11" s="8" t="s">
        <v>83</v>
      </c>
      <c r="J11" s="8"/>
      <c r="K11" s="8">
        <v>4</v>
      </c>
      <c r="L11" s="8">
        <f t="shared" si="0"/>
        <v>800</v>
      </c>
      <c r="M11" s="8">
        <v>0.32700000000000001</v>
      </c>
      <c r="N11" s="8">
        <f t="shared" si="1"/>
        <v>0.26370000000000005</v>
      </c>
      <c r="O11" s="8">
        <f t="shared" si="2"/>
        <v>10.548000000000002</v>
      </c>
    </row>
    <row r="12" spans="1:15" ht="29" customHeight="1" x14ac:dyDescent="0.2">
      <c r="A12" s="8" t="s">
        <v>290</v>
      </c>
      <c r="B12" s="8">
        <v>1.1000000000000001</v>
      </c>
      <c r="C12" s="9" t="s">
        <v>291</v>
      </c>
      <c r="D12" s="8" t="s">
        <v>292</v>
      </c>
      <c r="E12" s="8" t="s">
        <v>87</v>
      </c>
      <c r="F12" s="8" t="s">
        <v>13</v>
      </c>
      <c r="G12" s="8">
        <v>1</v>
      </c>
      <c r="H12" s="8">
        <v>25</v>
      </c>
      <c r="I12" s="8" t="s">
        <v>223</v>
      </c>
      <c r="J12" s="8"/>
      <c r="K12" s="8">
        <v>4</v>
      </c>
      <c r="L12" s="8">
        <f t="shared" si="0"/>
        <v>899.99999999999989</v>
      </c>
      <c r="M12" s="8">
        <v>0</v>
      </c>
      <c r="N12" s="8">
        <f t="shared" si="1"/>
        <v>-6.3299999999999995E-2</v>
      </c>
      <c r="O12" s="8">
        <f t="shared" si="2"/>
        <v>-2.532</v>
      </c>
    </row>
    <row r="13" spans="1:15" ht="29" customHeight="1" x14ac:dyDescent="0.2">
      <c r="A13" s="8" t="s">
        <v>97</v>
      </c>
      <c r="B13" s="8">
        <v>1.2</v>
      </c>
      <c r="C13" s="9" t="s">
        <v>98</v>
      </c>
      <c r="D13" s="8" t="s">
        <v>99</v>
      </c>
      <c r="E13" s="8" t="s">
        <v>87</v>
      </c>
      <c r="F13" s="8" t="s">
        <v>13</v>
      </c>
      <c r="G13" s="8">
        <v>1</v>
      </c>
      <c r="H13" s="8">
        <v>25</v>
      </c>
      <c r="I13" s="8" t="s">
        <v>83</v>
      </c>
      <c r="J13" s="8"/>
      <c r="K13" s="8">
        <v>4</v>
      </c>
      <c r="L13" s="8">
        <f t="shared" si="0"/>
        <v>800</v>
      </c>
      <c r="M13" s="8">
        <v>0.23499999999999999</v>
      </c>
      <c r="N13" s="8">
        <f t="shared" si="1"/>
        <v>0.17169999999999999</v>
      </c>
      <c r="O13" s="8">
        <f t="shared" si="2"/>
        <v>6.8679999999999994</v>
      </c>
    </row>
    <row r="14" spans="1:15" ht="29" customHeight="1" x14ac:dyDescent="0.2">
      <c r="A14" s="8" t="s">
        <v>106</v>
      </c>
      <c r="B14" s="8">
        <v>1.25</v>
      </c>
      <c r="C14" s="9" t="s">
        <v>107</v>
      </c>
      <c r="D14" s="8" t="s">
        <v>108</v>
      </c>
      <c r="E14" s="8" t="s">
        <v>87</v>
      </c>
      <c r="F14" s="8" t="s">
        <v>13</v>
      </c>
      <c r="G14" s="8">
        <v>1</v>
      </c>
      <c r="H14" s="8">
        <v>31</v>
      </c>
      <c r="I14" s="8" t="s">
        <v>83</v>
      </c>
      <c r="J14" s="8"/>
      <c r="K14" s="8">
        <v>4</v>
      </c>
      <c r="L14" s="8">
        <f t="shared" si="0"/>
        <v>750</v>
      </c>
      <c r="M14" s="8">
        <v>0.28199999999999997</v>
      </c>
      <c r="N14" s="8">
        <f t="shared" si="1"/>
        <v>0.21869999999999998</v>
      </c>
      <c r="O14" s="8">
        <f t="shared" si="2"/>
        <v>8.7479999999999993</v>
      </c>
    </row>
    <row r="15" spans="1:15" ht="29" customHeight="1" x14ac:dyDescent="0.2">
      <c r="A15" s="8" t="s">
        <v>305</v>
      </c>
      <c r="B15" s="8">
        <v>1.25</v>
      </c>
      <c r="C15" s="9" t="s">
        <v>306</v>
      </c>
      <c r="D15" s="8" t="s">
        <v>307</v>
      </c>
      <c r="E15" s="8" t="s">
        <v>87</v>
      </c>
      <c r="F15" s="8" t="s">
        <v>13</v>
      </c>
      <c r="G15" s="8">
        <v>1</v>
      </c>
      <c r="H15" s="8">
        <v>31</v>
      </c>
      <c r="I15" s="8" t="s">
        <v>223</v>
      </c>
      <c r="J15" s="8"/>
      <c r="K15" s="8">
        <v>4</v>
      </c>
      <c r="L15" s="8">
        <f t="shared" si="0"/>
        <v>750</v>
      </c>
      <c r="M15" s="8">
        <v>0.55900000000000005</v>
      </c>
      <c r="N15" s="8">
        <f t="shared" si="1"/>
        <v>0.49570000000000003</v>
      </c>
      <c r="O15" s="8">
        <f t="shared" si="2"/>
        <v>19.828000000000003</v>
      </c>
    </row>
    <row r="16" spans="1:15" ht="29" customHeight="1" x14ac:dyDescent="0.2">
      <c r="A16" s="8" t="s">
        <v>284</v>
      </c>
      <c r="B16" s="8">
        <v>1.3</v>
      </c>
      <c r="C16" s="9" t="s">
        <v>285</v>
      </c>
      <c r="D16" s="8" t="s">
        <v>286</v>
      </c>
      <c r="E16" s="8" t="s">
        <v>87</v>
      </c>
      <c r="F16" s="8" t="s">
        <v>13</v>
      </c>
      <c r="G16" s="8">
        <v>1</v>
      </c>
      <c r="H16" s="8">
        <v>36</v>
      </c>
      <c r="I16" s="8" t="s">
        <v>223</v>
      </c>
      <c r="J16" s="8"/>
      <c r="K16" s="8">
        <v>4</v>
      </c>
      <c r="L16" s="8">
        <f t="shared" si="0"/>
        <v>700</v>
      </c>
      <c r="M16" s="8">
        <v>0.35</v>
      </c>
      <c r="N16" s="8">
        <f t="shared" si="1"/>
        <v>0.28669999999999995</v>
      </c>
      <c r="O16" s="8">
        <f t="shared" si="2"/>
        <v>11.467999999999998</v>
      </c>
    </row>
    <row r="17" spans="1:15" ht="29" customHeight="1" x14ac:dyDescent="0.2">
      <c r="A17" s="8" t="s">
        <v>127</v>
      </c>
      <c r="B17" s="8">
        <v>1.45</v>
      </c>
      <c r="C17" s="9" t="s">
        <v>128</v>
      </c>
      <c r="D17" s="8" t="s">
        <v>129</v>
      </c>
      <c r="E17" s="8" t="s">
        <v>87</v>
      </c>
      <c r="F17" s="8" t="s">
        <v>13</v>
      </c>
      <c r="G17" s="8">
        <v>1</v>
      </c>
      <c r="H17" s="8">
        <v>36</v>
      </c>
      <c r="I17" s="8" t="s">
        <v>83</v>
      </c>
      <c r="J17" s="8"/>
      <c r="K17" s="8">
        <v>4</v>
      </c>
      <c r="L17" s="8">
        <f t="shared" si="0"/>
        <v>550</v>
      </c>
      <c r="M17" s="8">
        <v>0.38300000000000001</v>
      </c>
      <c r="N17" s="8">
        <f t="shared" si="1"/>
        <v>0.31969999999999998</v>
      </c>
      <c r="O17" s="8">
        <f t="shared" si="2"/>
        <v>12.788</v>
      </c>
    </row>
    <row r="18" spans="1:15" ht="29" customHeight="1" x14ac:dyDescent="0.2">
      <c r="A18" s="8" t="s">
        <v>193</v>
      </c>
      <c r="B18" s="8">
        <v>1</v>
      </c>
      <c r="C18" s="9" t="s">
        <v>194</v>
      </c>
      <c r="D18" s="8" t="s">
        <v>195</v>
      </c>
      <c r="E18" s="8" t="s">
        <v>12</v>
      </c>
      <c r="F18" s="8" t="s">
        <v>13</v>
      </c>
      <c r="G18" s="8">
        <v>2</v>
      </c>
      <c r="H18" s="8"/>
      <c r="I18" s="8" t="s">
        <v>14</v>
      </c>
      <c r="J18" s="8"/>
      <c r="K18" s="8">
        <v>4</v>
      </c>
      <c r="L18" s="8">
        <f t="shared" si="0"/>
        <v>1000</v>
      </c>
      <c r="M18" s="8">
        <v>0.40100000000000002</v>
      </c>
      <c r="N18" s="8">
        <f t="shared" si="1"/>
        <v>0.3377</v>
      </c>
      <c r="O18" s="8">
        <f t="shared" si="2"/>
        <v>13.507999999999999</v>
      </c>
    </row>
    <row r="19" spans="1:15" ht="29" customHeight="1" x14ac:dyDescent="0.2">
      <c r="A19" s="8" t="s">
        <v>47</v>
      </c>
      <c r="B19" s="8">
        <v>1.2</v>
      </c>
      <c r="C19" s="9" t="s">
        <v>48</v>
      </c>
      <c r="D19" s="8"/>
      <c r="E19" s="8" t="s">
        <v>12</v>
      </c>
      <c r="F19" s="8" t="s">
        <v>13</v>
      </c>
      <c r="G19" s="8">
        <v>1</v>
      </c>
      <c r="H19" s="8"/>
      <c r="I19" s="8" t="s">
        <v>14</v>
      </c>
      <c r="J19" s="8" t="s">
        <v>15</v>
      </c>
      <c r="K19" s="8">
        <v>4</v>
      </c>
      <c r="L19" s="8">
        <f t="shared" si="0"/>
        <v>800</v>
      </c>
      <c r="M19" s="8">
        <v>0.47599999999999998</v>
      </c>
      <c r="N19" s="8">
        <f t="shared" si="1"/>
        <v>0.41269999999999996</v>
      </c>
      <c r="O19" s="8">
        <f t="shared" si="2"/>
        <v>16.507999999999999</v>
      </c>
    </row>
    <row r="20" spans="1:15" ht="29" customHeight="1" x14ac:dyDescent="0.2">
      <c r="A20" s="8" t="s">
        <v>23</v>
      </c>
      <c r="B20" s="8">
        <v>1.2</v>
      </c>
      <c r="C20" s="9" t="s">
        <v>24</v>
      </c>
      <c r="D20" s="8"/>
      <c r="E20" s="8" t="s">
        <v>12</v>
      </c>
      <c r="F20" s="8" t="s">
        <v>13</v>
      </c>
      <c r="G20" s="8">
        <v>1</v>
      </c>
      <c r="H20" s="8"/>
      <c r="I20" s="8" t="s">
        <v>14</v>
      </c>
      <c r="J20" s="8" t="s">
        <v>15</v>
      </c>
      <c r="K20" s="8">
        <v>4</v>
      </c>
      <c r="L20" s="8">
        <f t="shared" si="0"/>
        <v>800</v>
      </c>
      <c r="M20" s="8">
        <v>0.315</v>
      </c>
      <c r="N20" s="8">
        <f t="shared" si="1"/>
        <v>0.25170000000000003</v>
      </c>
      <c r="O20" s="8">
        <f t="shared" si="2"/>
        <v>10.068000000000001</v>
      </c>
    </row>
    <row r="21" spans="1:15" ht="29" customHeight="1" x14ac:dyDescent="0.2">
      <c r="A21" s="8" t="s">
        <v>71</v>
      </c>
      <c r="B21" s="8">
        <v>1.25</v>
      </c>
      <c r="C21" s="9" t="s">
        <v>72</v>
      </c>
      <c r="D21" s="8"/>
      <c r="E21" s="8" t="s">
        <v>12</v>
      </c>
      <c r="F21" s="8" t="s">
        <v>13</v>
      </c>
      <c r="G21" s="8">
        <v>1</v>
      </c>
      <c r="H21" s="8"/>
      <c r="I21" s="8" t="s">
        <v>14</v>
      </c>
      <c r="J21" s="8" t="s">
        <v>15</v>
      </c>
      <c r="K21" s="8">
        <v>4</v>
      </c>
      <c r="L21" s="8">
        <f t="shared" si="0"/>
        <v>750</v>
      </c>
      <c r="M21" s="8">
        <v>0.30099999999999999</v>
      </c>
      <c r="N21" s="8">
        <f t="shared" si="1"/>
        <v>0.23769999999999999</v>
      </c>
      <c r="O21" s="8">
        <f t="shared" si="2"/>
        <v>9.5079999999999991</v>
      </c>
    </row>
    <row r="22" spans="1:15" ht="29" customHeight="1" x14ac:dyDescent="0.2">
      <c r="A22" s="8" t="s">
        <v>25</v>
      </c>
      <c r="B22" s="8">
        <v>1.25</v>
      </c>
      <c r="C22" s="9" t="s">
        <v>26</v>
      </c>
      <c r="D22" s="8"/>
      <c r="E22" s="8" t="s">
        <v>12</v>
      </c>
      <c r="F22" s="8" t="s">
        <v>13</v>
      </c>
      <c r="G22" s="8">
        <v>1</v>
      </c>
      <c r="H22" s="8"/>
      <c r="I22" s="8" t="s">
        <v>14</v>
      </c>
      <c r="J22" s="8" t="s">
        <v>15</v>
      </c>
      <c r="K22" s="8">
        <v>4</v>
      </c>
      <c r="L22" s="8">
        <f t="shared" si="0"/>
        <v>750</v>
      </c>
      <c r="M22" s="8">
        <v>0.222</v>
      </c>
      <c r="N22" s="8">
        <f t="shared" si="1"/>
        <v>0.15870000000000001</v>
      </c>
      <c r="O22" s="8">
        <f t="shared" si="2"/>
        <v>6.3480000000000008</v>
      </c>
    </row>
    <row r="23" spans="1:15" ht="29" customHeight="1" x14ac:dyDescent="0.2">
      <c r="A23" s="8" t="s">
        <v>59</v>
      </c>
      <c r="B23" s="8">
        <v>1.25</v>
      </c>
      <c r="C23" s="9" t="s">
        <v>60</v>
      </c>
      <c r="D23" s="8"/>
      <c r="E23" s="8" t="s">
        <v>12</v>
      </c>
      <c r="F23" s="8" t="s">
        <v>13</v>
      </c>
      <c r="G23" s="8">
        <v>1</v>
      </c>
      <c r="H23" s="8"/>
      <c r="I23" s="8" t="s">
        <v>14</v>
      </c>
      <c r="J23" s="8" t="s">
        <v>15</v>
      </c>
      <c r="K23" s="8">
        <v>4</v>
      </c>
      <c r="L23" s="8">
        <f t="shared" si="0"/>
        <v>750</v>
      </c>
      <c r="M23" s="8">
        <v>0.219</v>
      </c>
      <c r="N23" s="8">
        <f t="shared" si="1"/>
        <v>0.15570000000000001</v>
      </c>
      <c r="O23" s="8">
        <f t="shared" si="2"/>
        <v>6.2279999999999998</v>
      </c>
    </row>
    <row r="24" spans="1:15" ht="29" customHeight="1" x14ac:dyDescent="0.2">
      <c r="A24" s="8" t="s">
        <v>53</v>
      </c>
      <c r="B24" s="8">
        <v>1.25</v>
      </c>
      <c r="C24" s="9" t="s">
        <v>54</v>
      </c>
      <c r="D24" s="8"/>
      <c r="E24" s="8" t="s">
        <v>12</v>
      </c>
      <c r="F24" s="8" t="s">
        <v>13</v>
      </c>
      <c r="G24" s="8">
        <v>1</v>
      </c>
      <c r="H24" s="8"/>
      <c r="I24" s="8" t="s">
        <v>14</v>
      </c>
      <c r="J24" s="8" t="s">
        <v>15</v>
      </c>
      <c r="K24" s="8">
        <v>4</v>
      </c>
      <c r="L24" s="8">
        <f t="shared" si="0"/>
        <v>750</v>
      </c>
      <c r="M24" s="8">
        <v>0.17499999999999999</v>
      </c>
      <c r="N24" s="8">
        <f t="shared" si="1"/>
        <v>0.11169999999999999</v>
      </c>
      <c r="O24" s="8">
        <f t="shared" si="2"/>
        <v>4.468</v>
      </c>
    </row>
    <row r="25" spans="1:15" ht="29" customHeight="1" x14ac:dyDescent="0.2">
      <c r="A25" s="8" t="s">
        <v>454</v>
      </c>
      <c r="B25" s="8"/>
      <c r="C25" s="9"/>
      <c r="D25" s="8"/>
      <c r="E25" s="8"/>
      <c r="F25" s="8"/>
      <c r="G25" s="8"/>
      <c r="H25" s="8"/>
      <c r="I25" s="8"/>
      <c r="J25" s="8"/>
      <c r="K25" s="8"/>
      <c r="L25" s="8">
        <f t="shared" si="0"/>
        <v>2000</v>
      </c>
      <c r="M25" s="8">
        <v>6.3299999999999995E-2</v>
      </c>
      <c r="N25" s="8">
        <f t="shared" si="1"/>
        <v>0</v>
      </c>
      <c r="O25" s="8">
        <f t="shared" si="2"/>
        <v>0</v>
      </c>
    </row>
  </sheetData>
  <sortState xmlns:xlrd2="http://schemas.microsoft.com/office/spreadsheetml/2017/richdata2" ref="A2:K25">
    <sortCondition ref="H2:H25"/>
  </sortState>
  <conditionalFormatting sqref="A1">
    <cfRule type="duplicateValues" dxfId="5" priority="2"/>
  </conditionalFormatting>
  <conditionalFormatting sqref="A2:A25">
    <cfRule type="duplicateValues" dxfId="4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6B14-7A99-B54E-9745-10BE1594E6BA}">
  <dimension ref="A1:O26"/>
  <sheetViews>
    <sheetView topLeftCell="D1" zoomScale="125" workbookViewId="0">
      <selection activeCell="L21" sqref="L21"/>
    </sheetView>
  </sheetViews>
  <sheetFormatPr baseColWidth="10" defaultRowHeight="15" x14ac:dyDescent="0.2"/>
  <cols>
    <col min="1" max="1" width="10.6640625" bestFit="1" customWidth="1"/>
    <col min="2" max="2" width="13.5" customWidth="1"/>
    <col min="3" max="3" width="28" customWidth="1"/>
    <col min="4" max="4" width="17.6640625" bestFit="1" customWidth="1"/>
    <col min="5" max="5" width="11.1640625" bestFit="1" customWidth="1"/>
    <col min="6" max="6" width="10.6640625" bestFit="1" customWidth="1"/>
    <col min="7" max="7" width="8.1640625" bestFit="1" customWidth="1"/>
    <col min="8" max="8" width="5.5" bestFit="1" customWidth="1"/>
    <col min="9" max="9" width="16.5" bestFit="1" customWidth="1"/>
    <col min="10" max="10" width="9.83203125" bestFit="1" customWidth="1"/>
    <col min="11" max="11" width="5.5" bestFit="1" customWidth="1"/>
    <col min="12" max="12" width="31.33203125" bestFit="1" customWidth="1"/>
    <col min="13" max="13" width="32.33203125" bestFit="1" customWidth="1"/>
    <col min="14" max="14" width="30.33203125" bestFit="1" customWidth="1"/>
    <col min="15" max="15" width="43.33203125" bestFit="1" customWidth="1"/>
  </cols>
  <sheetData>
    <row r="1" spans="1:15" ht="26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395</v>
      </c>
      <c r="L1" s="9" t="s">
        <v>510</v>
      </c>
      <c r="M1" s="8" t="s">
        <v>512</v>
      </c>
      <c r="N1" s="8" t="s">
        <v>513</v>
      </c>
      <c r="O1" s="8" t="s">
        <v>515</v>
      </c>
    </row>
    <row r="2" spans="1:15" s="7" customFormat="1" ht="27" customHeight="1" x14ac:dyDescent="0.2">
      <c r="A2" s="9" t="s">
        <v>278</v>
      </c>
      <c r="B2" s="9">
        <v>1</v>
      </c>
      <c r="C2" s="9" t="s">
        <v>279</v>
      </c>
      <c r="D2" s="9" t="s">
        <v>280</v>
      </c>
      <c r="E2" s="9" t="s">
        <v>12</v>
      </c>
      <c r="F2" s="9" t="s">
        <v>13</v>
      </c>
      <c r="G2" s="9">
        <v>1</v>
      </c>
      <c r="H2" s="9">
        <v>15</v>
      </c>
      <c r="I2" s="9" t="s">
        <v>223</v>
      </c>
      <c r="J2" s="9"/>
      <c r="K2" s="9">
        <v>5</v>
      </c>
      <c r="L2" s="9">
        <f>(2-B2)*1000</f>
        <v>1000</v>
      </c>
      <c r="M2" s="9">
        <v>0.97299999999999998</v>
      </c>
      <c r="N2" s="9">
        <f>(M2-$M$25)</f>
        <v>0.57199999999999995</v>
      </c>
      <c r="O2" s="9">
        <f>N2*40</f>
        <v>22.88</v>
      </c>
    </row>
    <row r="3" spans="1:15" s="7" customFormat="1" ht="27" customHeight="1" x14ac:dyDescent="0.2">
      <c r="A3" s="9" t="s">
        <v>368</v>
      </c>
      <c r="B3" s="9">
        <v>1.3</v>
      </c>
      <c r="C3" s="9" t="s">
        <v>369</v>
      </c>
      <c r="D3" s="9" t="s">
        <v>370</v>
      </c>
      <c r="E3" s="9" t="s">
        <v>12</v>
      </c>
      <c r="F3" s="9" t="s">
        <v>13</v>
      </c>
      <c r="G3" s="9">
        <v>1</v>
      </c>
      <c r="H3" s="9">
        <v>15</v>
      </c>
      <c r="I3" s="9" t="s">
        <v>83</v>
      </c>
      <c r="J3" s="9"/>
      <c r="K3" s="9">
        <v>5</v>
      </c>
      <c r="L3" s="9">
        <f t="shared" ref="L3:L25" si="0">(2-B3)*1000</f>
        <v>700</v>
      </c>
      <c r="M3" s="9">
        <v>0.501</v>
      </c>
      <c r="N3" s="9">
        <f t="shared" ref="N3:N25" si="1">(M3-$M$25)</f>
        <v>9.9999999999999978E-2</v>
      </c>
      <c r="O3" s="9">
        <f t="shared" ref="O3:O25" si="2">N3*40</f>
        <v>3.9999999999999991</v>
      </c>
    </row>
    <row r="4" spans="1:15" s="7" customFormat="1" ht="27" customHeight="1" x14ac:dyDescent="0.2">
      <c r="A4" s="9" t="s">
        <v>77</v>
      </c>
      <c r="B4" s="9">
        <v>1.25</v>
      </c>
      <c r="C4" s="9" t="s">
        <v>78</v>
      </c>
      <c r="D4" s="9" t="s">
        <v>79</v>
      </c>
      <c r="E4" s="9" t="s">
        <v>12</v>
      </c>
      <c r="F4" s="9" t="s">
        <v>13</v>
      </c>
      <c r="G4" s="9">
        <v>1</v>
      </c>
      <c r="H4" s="9">
        <v>17</v>
      </c>
      <c r="I4" s="9" t="s">
        <v>22</v>
      </c>
      <c r="J4" s="9"/>
      <c r="K4" s="9">
        <v>5</v>
      </c>
      <c r="L4" s="9">
        <f t="shared" si="0"/>
        <v>750</v>
      </c>
      <c r="M4" s="9">
        <v>0.48699999999999999</v>
      </c>
      <c r="N4" s="9">
        <f t="shared" si="1"/>
        <v>8.5999999999999965E-2</v>
      </c>
      <c r="O4" s="9">
        <f t="shared" si="2"/>
        <v>3.4399999999999986</v>
      </c>
    </row>
    <row r="5" spans="1:15" s="7" customFormat="1" ht="27" customHeight="1" x14ac:dyDescent="0.2">
      <c r="A5" s="9" t="s">
        <v>242</v>
      </c>
      <c r="B5" s="9">
        <v>1.2</v>
      </c>
      <c r="C5" s="9" t="s">
        <v>243</v>
      </c>
      <c r="D5" s="9" t="s">
        <v>244</v>
      </c>
      <c r="E5" s="9" t="s">
        <v>12</v>
      </c>
      <c r="F5" s="9" t="s">
        <v>13</v>
      </c>
      <c r="G5" s="9">
        <v>1</v>
      </c>
      <c r="H5" s="9">
        <v>17</v>
      </c>
      <c r="I5" s="9" t="s">
        <v>223</v>
      </c>
      <c r="J5" s="9"/>
      <c r="K5" s="9">
        <v>5</v>
      </c>
      <c r="L5" s="9">
        <f t="shared" si="0"/>
        <v>800</v>
      </c>
      <c r="M5" s="9">
        <v>0.59699999999999998</v>
      </c>
      <c r="N5" s="9">
        <f t="shared" si="1"/>
        <v>0.19599999999999995</v>
      </c>
      <c r="O5" s="9">
        <f t="shared" si="2"/>
        <v>7.8399999999999981</v>
      </c>
    </row>
    <row r="6" spans="1:15" s="7" customFormat="1" ht="27" customHeight="1" x14ac:dyDescent="0.2">
      <c r="A6" s="9" t="s">
        <v>308</v>
      </c>
      <c r="B6" s="9">
        <v>1.2</v>
      </c>
      <c r="C6" s="9" t="s">
        <v>309</v>
      </c>
      <c r="D6" s="9" t="s">
        <v>310</v>
      </c>
      <c r="E6" s="9" t="s">
        <v>87</v>
      </c>
      <c r="F6" s="9" t="s">
        <v>13</v>
      </c>
      <c r="G6" s="9">
        <v>1</v>
      </c>
      <c r="H6" s="9">
        <v>18</v>
      </c>
      <c r="I6" s="9" t="s">
        <v>223</v>
      </c>
      <c r="J6" s="9"/>
      <c r="K6" s="9">
        <v>5</v>
      </c>
      <c r="L6" s="9">
        <f t="shared" si="0"/>
        <v>800</v>
      </c>
      <c r="M6" s="9">
        <v>0.45400000000000001</v>
      </c>
      <c r="N6" s="9">
        <f t="shared" si="1"/>
        <v>5.2999999999999992E-2</v>
      </c>
      <c r="O6" s="9">
        <f t="shared" si="2"/>
        <v>2.1199999999999997</v>
      </c>
    </row>
    <row r="7" spans="1:15" s="7" customFormat="1" ht="27" customHeight="1" x14ac:dyDescent="0.2">
      <c r="A7" s="9" t="s">
        <v>109</v>
      </c>
      <c r="B7" s="9">
        <v>1.3</v>
      </c>
      <c r="C7" s="9" t="s">
        <v>110</v>
      </c>
      <c r="D7" s="9" t="s">
        <v>111</v>
      </c>
      <c r="E7" s="9" t="s">
        <v>87</v>
      </c>
      <c r="F7" s="9" t="s">
        <v>13</v>
      </c>
      <c r="G7" s="9">
        <v>1</v>
      </c>
      <c r="H7" s="9">
        <v>18</v>
      </c>
      <c r="I7" s="9" t="s">
        <v>83</v>
      </c>
      <c r="J7" s="9"/>
      <c r="K7" s="9">
        <v>5</v>
      </c>
      <c r="L7" s="9">
        <f t="shared" si="0"/>
        <v>700</v>
      </c>
      <c r="M7" s="9">
        <v>0.56599999999999995</v>
      </c>
      <c r="N7" s="9">
        <f t="shared" si="1"/>
        <v>0.16499999999999992</v>
      </c>
      <c r="O7" s="9">
        <f t="shared" si="2"/>
        <v>6.599999999999997</v>
      </c>
    </row>
    <row r="8" spans="1:15" s="7" customFormat="1" ht="27" customHeight="1" x14ac:dyDescent="0.2">
      <c r="A8" s="9" t="s">
        <v>100</v>
      </c>
      <c r="B8" s="9">
        <v>1.2</v>
      </c>
      <c r="C8" s="9" t="s">
        <v>101</v>
      </c>
      <c r="D8" s="9" t="s">
        <v>102</v>
      </c>
      <c r="E8" s="9" t="s">
        <v>87</v>
      </c>
      <c r="F8" s="9" t="s">
        <v>13</v>
      </c>
      <c r="G8" s="9">
        <v>1</v>
      </c>
      <c r="H8" s="9">
        <v>26</v>
      </c>
      <c r="I8" s="9" t="s">
        <v>83</v>
      </c>
      <c r="J8" s="9"/>
      <c r="K8" s="9">
        <v>5</v>
      </c>
      <c r="L8" s="9">
        <f t="shared" si="0"/>
        <v>800</v>
      </c>
      <c r="M8" s="9">
        <v>0.67300000000000004</v>
      </c>
      <c r="N8" s="9">
        <f t="shared" si="1"/>
        <v>0.27200000000000002</v>
      </c>
      <c r="O8" s="9">
        <f t="shared" si="2"/>
        <v>10.88</v>
      </c>
    </row>
    <row r="9" spans="1:15" s="7" customFormat="1" ht="27" customHeight="1" x14ac:dyDescent="0.2">
      <c r="A9" s="9" t="s">
        <v>287</v>
      </c>
      <c r="B9" s="9">
        <v>1</v>
      </c>
      <c r="C9" s="9" t="s">
        <v>288</v>
      </c>
      <c r="D9" s="9" t="s">
        <v>289</v>
      </c>
      <c r="E9" s="9" t="s">
        <v>87</v>
      </c>
      <c r="F9" s="9" t="s">
        <v>13</v>
      </c>
      <c r="G9" s="9">
        <v>1</v>
      </c>
      <c r="H9" s="9">
        <v>26</v>
      </c>
      <c r="I9" s="9" t="s">
        <v>223</v>
      </c>
      <c r="J9" s="9"/>
      <c r="K9" s="9">
        <v>5</v>
      </c>
      <c r="L9" s="9">
        <f t="shared" si="0"/>
        <v>1000</v>
      </c>
      <c r="M9" s="9"/>
      <c r="N9" s="9">
        <v>0</v>
      </c>
      <c r="O9" s="9">
        <f t="shared" si="2"/>
        <v>0</v>
      </c>
    </row>
    <row r="10" spans="1:15" s="7" customFormat="1" ht="27" customHeight="1" x14ac:dyDescent="0.2">
      <c r="A10" s="9" t="s">
        <v>299</v>
      </c>
      <c r="B10" s="9">
        <v>1.3</v>
      </c>
      <c r="C10" s="9" t="s">
        <v>300</v>
      </c>
      <c r="D10" s="9" t="s">
        <v>301</v>
      </c>
      <c r="E10" s="9" t="s">
        <v>87</v>
      </c>
      <c r="F10" s="9" t="s">
        <v>13</v>
      </c>
      <c r="G10" s="9">
        <v>1</v>
      </c>
      <c r="H10" s="9">
        <v>38</v>
      </c>
      <c r="I10" s="9" t="s">
        <v>223</v>
      </c>
      <c r="J10" s="9"/>
      <c r="K10" s="9">
        <v>5</v>
      </c>
      <c r="L10" s="9">
        <f t="shared" si="0"/>
        <v>700</v>
      </c>
      <c r="M10" s="9">
        <v>0.60499999999999998</v>
      </c>
      <c r="N10" s="9">
        <f t="shared" si="1"/>
        <v>0.20399999999999996</v>
      </c>
      <c r="O10" s="9">
        <f t="shared" si="2"/>
        <v>8.1599999999999984</v>
      </c>
    </row>
    <row r="11" spans="1:15" s="7" customFormat="1" ht="27" customHeight="1" x14ac:dyDescent="0.2">
      <c r="A11" s="9" t="s">
        <v>88</v>
      </c>
      <c r="B11" s="9">
        <v>1.1000000000000001</v>
      </c>
      <c r="C11" s="9" t="s">
        <v>89</v>
      </c>
      <c r="D11" s="9" t="s">
        <v>90</v>
      </c>
      <c r="E11" s="9" t="s">
        <v>87</v>
      </c>
      <c r="F11" s="9" t="s">
        <v>13</v>
      </c>
      <c r="G11" s="9">
        <v>1</v>
      </c>
      <c r="H11" s="9">
        <v>38</v>
      </c>
      <c r="I11" s="9" t="s">
        <v>83</v>
      </c>
      <c r="J11" s="9"/>
      <c r="K11" s="9">
        <v>5</v>
      </c>
      <c r="L11" s="9">
        <f t="shared" si="0"/>
        <v>899.99999999999989</v>
      </c>
      <c r="M11" s="9">
        <v>0.48699999999999999</v>
      </c>
      <c r="N11" s="9">
        <f t="shared" si="1"/>
        <v>8.5999999999999965E-2</v>
      </c>
      <c r="O11" s="9">
        <f t="shared" si="2"/>
        <v>3.4399999999999986</v>
      </c>
    </row>
    <row r="12" spans="1:15" s="7" customFormat="1" ht="27" customHeight="1" x14ac:dyDescent="0.2">
      <c r="A12" s="9" t="s">
        <v>332</v>
      </c>
      <c r="B12" s="9">
        <v>1</v>
      </c>
      <c r="C12" s="9" t="s">
        <v>333</v>
      </c>
      <c r="D12" s="9" t="s">
        <v>334</v>
      </c>
      <c r="E12" s="9" t="s">
        <v>87</v>
      </c>
      <c r="F12" s="9" t="s">
        <v>13</v>
      </c>
      <c r="G12" s="9">
        <v>1</v>
      </c>
      <c r="H12" s="9">
        <v>39</v>
      </c>
      <c r="I12" s="9" t="s">
        <v>223</v>
      </c>
      <c r="J12" s="9"/>
      <c r="K12" s="9">
        <v>5</v>
      </c>
      <c r="L12" s="9">
        <f t="shared" si="0"/>
        <v>1000</v>
      </c>
      <c r="M12" s="9">
        <v>1.03</v>
      </c>
      <c r="N12" s="9">
        <f t="shared" si="1"/>
        <v>0.629</v>
      </c>
      <c r="O12" s="9">
        <f t="shared" si="2"/>
        <v>25.16</v>
      </c>
    </row>
    <row r="13" spans="1:15" s="7" customFormat="1" ht="27" customHeight="1" x14ac:dyDescent="0.2">
      <c r="A13" s="9" t="s">
        <v>166</v>
      </c>
      <c r="B13" s="9">
        <v>1.25</v>
      </c>
      <c r="C13" s="9" t="s">
        <v>167</v>
      </c>
      <c r="D13" s="9" t="s">
        <v>168</v>
      </c>
      <c r="E13" s="9" t="s">
        <v>87</v>
      </c>
      <c r="F13" s="9" t="s">
        <v>13</v>
      </c>
      <c r="G13" s="9">
        <v>1</v>
      </c>
      <c r="H13" s="9">
        <v>39</v>
      </c>
      <c r="I13" s="9" t="s">
        <v>83</v>
      </c>
      <c r="J13" s="9"/>
      <c r="K13" s="9">
        <v>5</v>
      </c>
      <c r="L13" s="9">
        <f t="shared" si="0"/>
        <v>750</v>
      </c>
      <c r="M13" s="9">
        <v>0.44400000000000001</v>
      </c>
      <c r="N13" s="9">
        <f t="shared" si="1"/>
        <v>4.2999999999999983E-2</v>
      </c>
      <c r="O13" s="9">
        <f t="shared" si="2"/>
        <v>1.7199999999999993</v>
      </c>
    </row>
    <row r="14" spans="1:15" s="7" customFormat="1" ht="27" customHeight="1" x14ac:dyDescent="0.2">
      <c r="A14" s="9" t="s">
        <v>118</v>
      </c>
      <c r="B14" s="9">
        <v>1.35</v>
      </c>
      <c r="C14" s="9" t="s">
        <v>119</v>
      </c>
      <c r="D14" s="9" t="s">
        <v>120</v>
      </c>
      <c r="E14" s="9" t="s">
        <v>87</v>
      </c>
      <c r="F14" s="9" t="s">
        <v>13</v>
      </c>
      <c r="G14" s="9">
        <v>1</v>
      </c>
      <c r="H14" s="9">
        <v>40</v>
      </c>
      <c r="I14" s="9" t="s">
        <v>83</v>
      </c>
      <c r="J14" s="9"/>
      <c r="K14" s="9">
        <v>5</v>
      </c>
      <c r="L14" s="9">
        <f t="shared" si="0"/>
        <v>649.99999999999989</v>
      </c>
      <c r="M14" s="9">
        <v>0.41499999999999998</v>
      </c>
      <c r="N14" s="9">
        <f t="shared" si="1"/>
        <v>1.3999999999999957E-2</v>
      </c>
      <c r="O14" s="9">
        <f t="shared" si="2"/>
        <v>0.55999999999999828</v>
      </c>
    </row>
    <row r="15" spans="1:15" s="7" customFormat="1" ht="27" customHeight="1" x14ac:dyDescent="0.2">
      <c r="A15" s="9" t="s">
        <v>314</v>
      </c>
      <c r="B15" s="9">
        <v>1.1000000000000001</v>
      </c>
      <c r="C15" s="9" t="s">
        <v>315</v>
      </c>
      <c r="D15" s="9" t="s">
        <v>316</v>
      </c>
      <c r="E15" s="9" t="s">
        <v>87</v>
      </c>
      <c r="F15" s="9" t="s">
        <v>13</v>
      </c>
      <c r="G15" s="9">
        <v>1</v>
      </c>
      <c r="H15" s="9">
        <v>40</v>
      </c>
      <c r="I15" s="9" t="s">
        <v>223</v>
      </c>
      <c r="J15" s="9"/>
      <c r="K15" s="9">
        <v>5</v>
      </c>
      <c r="L15" s="9">
        <f t="shared" si="0"/>
        <v>899.99999999999989</v>
      </c>
      <c r="M15" s="9">
        <v>0.48799999999999999</v>
      </c>
      <c r="N15" s="9">
        <f t="shared" si="1"/>
        <v>8.6999999999999966E-2</v>
      </c>
      <c r="O15" s="9">
        <f t="shared" si="2"/>
        <v>3.4799999999999986</v>
      </c>
    </row>
    <row r="16" spans="1:15" s="7" customFormat="1" ht="27" customHeight="1" x14ac:dyDescent="0.2">
      <c r="A16" s="9" t="s">
        <v>91</v>
      </c>
      <c r="B16" s="9">
        <v>1.35</v>
      </c>
      <c r="C16" s="9" t="s">
        <v>92</v>
      </c>
      <c r="D16" s="9" t="s">
        <v>93</v>
      </c>
      <c r="E16" s="9" t="s">
        <v>12</v>
      </c>
      <c r="F16" s="9" t="s">
        <v>13</v>
      </c>
      <c r="G16" s="9">
        <v>1</v>
      </c>
      <c r="H16" s="9">
        <v>44</v>
      </c>
      <c r="I16" s="9" t="s">
        <v>83</v>
      </c>
      <c r="J16" s="9"/>
      <c r="K16" s="9">
        <v>5</v>
      </c>
      <c r="L16" s="9">
        <f t="shared" si="0"/>
        <v>649.99999999999989</v>
      </c>
      <c r="M16" s="9">
        <v>0.30099999999999999</v>
      </c>
      <c r="N16" s="9">
        <v>0</v>
      </c>
      <c r="O16" s="9">
        <f t="shared" si="2"/>
        <v>0</v>
      </c>
    </row>
    <row r="17" spans="1:15" s="7" customFormat="1" ht="27" customHeight="1" x14ac:dyDescent="0.2">
      <c r="A17" s="9" t="s">
        <v>224</v>
      </c>
      <c r="B17" s="9">
        <v>1.25</v>
      </c>
      <c r="C17" s="9" t="s">
        <v>225</v>
      </c>
      <c r="D17" s="9" t="s">
        <v>226</v>
      </c>
      <c r="E17" s="9" t="s">
        <v>12</v>
      </c>
      <c r="F17" s="9" t="s">
        <v>13</v>
      </c>
      <c r="G17" s="9">
        <v>1</v>
      </c>
      <c r="H17" s="9">
        <v>44</v>
      </c>
      <c r="I17" s="9" t="s">
        <v>223</v>
      </c>
      <c r="J17" s="9"/>
      <c r="K17" s="9">
        <v>5</v>
      </c>
      <c r="L17" s="9">
        <f t="shared" si="0"/>
        <v>750</v>
      </c>
      <c r="M17" s="9">
        <v>0.40699999999999997</v>
      </c>
      <c r="N17" s="9">
        <f t="shared" si="1"/>
        <v>5.9999999999999498E-3</v>
      </c>
      <c r="O17" s="9">
        <f t="shared" si="2"/>
        <v>0.23999999999999799</v>
      </c>
    </row>
    <row r="18" spans="1:15" s="7" customFormat="1" ht="27" customHeight="1" x14ac:dyDescent="0.2">
      <c r="A18" s="9" t="s">
        <v>16</v>
      </c>
      <c r="B18" s="9">
        <v>1.25</v>
      </c>
      <c r="C18" s="9" t="s">
        <v>17</v>
      </c>
      <c r="D18" s="9"/>
      <c r="E18" s="9" t="s">
        <v>12</v>
      </c>
      <c r="F18" s="9" t="s">
        <v>13</v>
      </c>
      <c r="G18" s="9">
        <v>1</v>
      </c>
      <c r="H18" s="9"/>
      <c r="I18" s="9" t="s">
        <v>14</v>
      </c>
      <c r="J18" s="9" t="s">
        <v>15</v>
      </c>
      <c r="K18" s="9">
        <v>5</v>
      </c>
      <c r="L18" s="9">
        <f t="shared" si="0"/>
        <v>750</v>
      </c>
      <c r="M18" s="9">
        <v>0.44700000000000001</v>
      </c>
      <c r="N18" s="9">
        <f t="shared" si="1"/>
        <v>4.5999999999999985E-2</v>
      </c>
      <c r="O18" s="9">
        <f t="shared" si="2"/>
        <v>1.8399999999999994</v>
      </c>
    </row>
    <row r="19" spans="1:15" s="7" customFormat="1" ht="27" customHeight="1" x14ac:dyDescent="0.2">
      <c r="A19" s="9" t="s">
        <v>27</v>
      </c>
      <c r="B19" s="9">
        <v>1.25</v>
      </c>
      <c r="C19" s="9" t="s">
        <v>28</v>
      </c>
      <c r="D19" s="9"/>
      <c r="E19" s="9" t="s">
        <v>12</v>
      </c>
      <c r="F19" s="9" t="s">
        <v>13</v>
      </c>
      <c r="G19" s="9">
        <v>1</v>
      </c>
      <c r="H19" s="9"/>
      <c r="I19" s="9" t="s">
        <v>14</v>
      </c>
      <c r="J19" s="9" t="s">
        <v>15</v>
      </c>
      <c r="K19" s="9">
        <v>5</v>
      </c>
      <c r="L19" s="9">
        <f t="shared" si="0"/>
        <v>750</v>
      </c>
      <c r="M19" s="9">
        <v>0.42399999999999999</v>
      </c>
      <c r="N19" s="9">
        <f t="shared" si="1"/>
        <v>2.2999999999999965E-2</v>
      </c>
      <c r="O19" s="9">
        <f t="shared" si="2"/>
        <v>0.9199999999999986</v>
      </c>
    </row>
    <row r="20" spans="1:15" s="7" customFormat="1" ht="27" customHeight="1" x14ac:dyDescent="0.2">
      <c r="A20" s="9" t="s">
        <v>199</v>
      </c>
      <c r="B20" s="9">
        <v>1</v>
      </c>
      <c r="C20" s="9" t="s">
        <v>200</v>
      </c>
      <c r="D20" s="9" t="s">
        <v>201</v>
      </c>
      <c r="E20" s="9" t="s">
        <v>12</v>
      </c>
      <c r="F20" s="9" t="s">
        <v>13</v>
      </c>
      <c r="G20" s="9">
        <v>2</v>
      </c>
      <c r="H20" s="9"/>
      <c r="I20" s="9" t="s">
        <v>14</v>
      </c>
      <c r="J20" s="9"/>
      <c r="K20" s="9">
        <v>5</v>
      </c>
      <c r="L20" s="9">
        <f t="shared" si="0"/>
        <v>1000</v>
      </c>
      <c r="M20" s="9">
        <v>0.41799999999999998</v>
      </c>
      <c r="N20" s="9">
        <f t="shared" si="1"/>
        <v>1.699999999999996E-2</v>
      </c>
      <c r="O20" s="9">
        <f t="shared" si="2"/>
        <v>0.67999999999999838</v>
      </c>
    </row>
    <row r="21" spans="1:15" s="7" customFormat="1" ht="27" customHeight="1" x14ac:dyDescent="0.2">
      <c r="A21" s="9" t="s">
        <v>172</v>
      </c>
      <c r="B21" s="9">
        <v>1</v>
      </c>
      <c r="C21" s="9" t="s">
        <v>173</v>
      </c>
      <c r="D21" s="9" t="s">
        <v>174</v>
      </c>
      <c r="E21" s="9" t="s">
        <v>12</v>
      </c>
      <c r="F21" s="9" t="s">
        <v>13</v>
      </c>
      <c r="G21" s="9">
        <v>2</v>
      </c>
      <c r="H21" s="9"/>
      <c r="I21" s="9" t="s">
        <v>14</v>
      </c>
      <c r="J21" s="9"/>
      <c r="K21" s="9">
        <v>5</v>
      </c>
      <c r="L21" s="9">
        <f t="shared" si="0"/>
        <v>1000</v>
      </c>
      <c r="M21" s="9">
        <v>0.42699999999999999</v>
      </c>
      <c r="N21" s="9">
        <f t="shared" si="1"/>
        <v>2.5999999999999968E-2</v>
      </c>
      <c r="O21" s="9">
        <f t="shared" si="2"/>
        <v>1.0399999999999987</v>
      </c>
    </row>
    <row r="22" spans="1:15" s="7" customFormat="1" ht="27" customHeight="1" x14ac:dyDescent="0.2">
      <c r="A22" s="9" t="s">
        <v>187</v>
      </c>
      <c r="B22" s="9">
        <v>1</v>
      </c>
      <c r="C22" s="9" t="s">
        <v>188</v>
      </c>
      <c r="D22" s="9" t="s">
        <v>189</v>
      </c>
      <c r="E22" s="9" t="s">
        <v>12</v>
      </c>
      <c r="F22" s="9" t="s">
        <v>13</v>
      </c>
      <c r="G22" s="9">
        <v>2</v>
      </c>
      <c r="H22" s="9"/>
      <c r="I22" s="9" t="s">
        <v>14</v>
      </c>
      <c r="J22" s="9"/>
      <c r="K22" s="9">
        <v>5</v>
      </c>
      <c r="L22" s="9">
        <f t="shared" si="0"/>
        <v>1000</v>
      </c>
      <c r="M22" s="9">
        <v>0.45</v>
      </c>
      <c r="N22" s="9">
        <f t="shared" si="1"/>
        <v>4.8999999999999988E-2</v>
      </c>
      <c r="O22" s="9">
        <f t="shared" si="2"/>
        <v>1.9599999999999995</v>
      </c>
    </row>
    <row r="23" spans="1:15" s="7" customFormat="1" ht="27" customHeight="1" x14ac:dyDescent="0.2">
      <c r="A23" s="9" t="s">
        <v>208</v>
      </c>
      <c r="B23" s="9">
        <v>1</v>
      </c>
      <c r="C23" s="9" t="s">
        <v>209</v>
      </c>
      <c r="D23" s="9" t="s">
        <v>210</v>
      </c>
      <c r="E23" s="9" t="s">
        <v>12</v>
      </c>
      <c r="F23" s="9" t="s">
        <v>13</v>
      </c>
      <c r="G23" s="9">
        <v>2</v>
      </c>
      <c r="H23" s="9"/>
      <c r="I23" s="9" t="s">
        <v>14</v>
      </c>
      <c r="J23" s="9"/>
      <c r="K23" s="9">
        <v>5</v>
      </c>
      <c r="L23" s="9">
        <f t="shared" si="0"/>
        <v>1000</v>
      </c>
      <c r="M23" s="9">
        <v>0.28599999999999998</v>
      </c>
      <c r="N23" s="9">
        <v>0</v>
      </c>
      <c r="O23" s="9">
        <f t="shared" si="2"/>
        <v>0</v>
      </c>
    </row>
    <row r="24" spans="1:15" s="7" customFormat="1" ht="27" customHeight="1" x14ac:dyDescent="0.2">
      <c r="A24" s="9" t="s">
        <v>196</v>
      </c>
      <c r="B24" s="9">
        <v>1</v>
      </c>
      <c r="C24" s="9" t="s">
        <v>197</v>
      </c>
      <c r="D24" s="9" t="s">
        <v>198</v>
      </c>
      <c r="E24" s="9" t="s">
        <v>12</v>
      </c>
      <c r="F24" s="9" t="s">
        <v>13</v>
      </c>
      <c r="G24" s="9">
        <v>2</v>
      </c>
      <c r="H24" s="9"/>
      <c r="I24" s="9" t="s">
        <v>14</v>
      </c>
      <c r="J24" s="9"/>
      <c r="K24" s="9">
        <v>5</v>
      </c>
      <c r="L24" s="9">
        <f t="shared" si="0"/>
        <v>1000</v>
      </c>
      <c r="M24" s="9">
        <v>0.20200000000000001</v>
      </c>
      <c r="N24" s="9">
        <v>0</v>
      </c>
      <c r="O24" s="9">
        <f t="shared" si="2"/>
        <v>0</v>
      </c>
    </row>
    <row r="25" spans="1:15" s="7" customFormat="1" ht="27" customHeight="1" x14ac:dyDescent="0.2">
      <c r="A25" s="9" t="s">
        <v>456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>
        <f t="shared" si="0"/>
        <v>2000</v>
      </c>
      <c r="M25" s="9">
        <v>0.40100000000000002</v>
      </c>
      <c r="N25" s="9">
        <f t="shared" si="1"/>
        <v>0</v>
      </c>
      <c r="O25" s="9">
        <f t="shared" si="2"/>
        <v>0</v>
      </c>
    </row>
    <row r="26" spans="1:15" x14ac:dyDescent="0.2">
      <c r="M26" s="9"/>
    </row>
  </sheetData>
  <sortState xmlns:xlrd2="http://schemas.microsoft.com/office/spreadsheetml/2017/richdata2" ref="A2:K25">
    <sortCondition ref="H2:H25"/>
  </sortState>
  <conditionalFormatting sqref="A1">
    <cfRule type="duplicateValues" dxfId="3" priority="1"/>
  </conditionalFormatting>
  <conditionalFormatting sqref="A2:A25">
    <cfRule type="duplicateValues" dxfId="2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4833E-FFB6-E347-8071-003297595B0A}">
  <dimension ref="A1:O23"/>
  <sheetViews>
    <sheetView zoomScale="83" workbookViewId="0">
      <selection activeCell="A9" sqref="A9"/>
    </sheetView>
  </sheetViews>
  <sheetFormatPr baseColWidth="10" defaultRowHeight="15" x14ac:dyDescent="0.2"/>
  <cols>
    <col min="1" max="1" width="21.83203125" bestFit="1" customWidth="1"/>
    <col min="2" max="2" width="13.6640625" customWidth="1"/>
    <col min="3" max="3" width="27.1640625" customWidth="1"/>
    <col min="4" max="4" width="17.6640625" bestFit="1" customWidth="1"/>
    <col min="5" max="5" width="11.1640625" bestFit="1" customWidth="1"/>
    <col min="6" max="6" width="10.6640625" bestFit="1" customWidth="1"/>
    <col min="7" max="7" width="8.1640625" bestFit="1" customWidth="1"/>
    <col min="8" max="8" width="5.5" bestFit="1" customWidth="1"/>
    <col min="9" max="9" width="16.5" bestFit="1" customWidth="1"/>
    <col min="10" max="10" width="9.83203125" bestFit="1" customWidth="1"/>
    <col min="11" max="11" width="5.5" bestFit="1" customWidth="1"/>
    <col min="12" max="12" width="31.33203125" bestFit="1" customWidth="1"/>
    <col min="13" max="13" width="33.33203125" bestFit="1" customWidth="1"/>
    <col min="14" max="14" width="31.1640625" bestFit="1" customWidth="1"/>
    <col min="15" max="15" width="44.33203125" bestFit="1" customWidth="1"/>
  </cols>
  <sheetData>
    <row r="1" spans="1:15" ht="26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395</v>
      </c>
      <c r="L1" s="9" t="s">
        <v>511</v>
      </c>
      <c r="M1" s="8" t="s">
        <v>512</v>
      </c>
      <c r="N1" s="8" t="s">
        <v>513</v>
      </c>
      <c r="O1" s="8" t="s">
        <v>515</v>
      </c>
    </row>
    <row r="2" spans="1:15" ht="28" customHeight="1" x14ac:dyDescent="0.2">
      <c r="A2" s="9" t="s">
        <v>233</v>
      </c>
      <c r="B2" s="9">
        <v>1.1000000000000001</v>
      </c>
      <c r="C2" s="9" t="s">
        <v>234</v>
      </c>
      <c r="D2" s="9" t="s">
        <v>235</v>
      </c>
      <c r="E2" s="9" t="s">
        <v>12</v>
      </c>
      <c r="F2" s="9" t="s">
        <v>13</v>
      </c>
      <c r="G2" s="9">
        <v>1</v>
      </c>
      <c r="H2" s="9">
        <v>2</v>
      </c>
      <c r="I2" s="9" t="s">
        <v>223</v>
      </c>
      <c r="J2" s="9"/>
      <c r="K2" s="9">
        <v>6</v>
      </c>
      <c r="L2" s="8">
        <f>(2-B2)*1000</f>
        <v>899.99999999999989</v>
      </c>
      <c r="M2" s="8">
        <v>0.72699999999999998</v>
      </c>
      <c r="N2" s="8">
        <f>(M2-$M$23)</f>
        <v>0.52200000000000002</v>
      </c>
      <c r="O2" s="8">
        <f>N2*40</f>
        <v>20.880000000000003</v>
      </c>
    </row>
    <row r="3" spans="1:15" ht="28" customHeight="1" x14ac:dyDescent="0.2">
      <c r="A3" s="9" t="s">
        <v>359</v>
      </c>
      <c r="B3" s="9">
        <v>1.1499999999999999</v>
      </c>
      <c r="C3" s="9" t="s">
        <v>360</v>
      </c>
      <c r="D3" s="9" t="s">
        <v>361</v>
      </c>
      <c r="E3" s="9" t="s">
        <v>12</v>
      </c>
      <c r="F3" s="9" t="s">
        <v>13</v>
      </c>
      <c r="G3" s="9">
        <v>1</v>
      </c>
      <c r="H3" s="9">
        <v>2</v>
      </c>
      <c r="I3" s="9" t="s">
        <v>83</v>
      </c>
      <c r="J3" s="9"/>
      <c r="K3" s="9">
        <v>6</v>
      </c>
      <c r="L3" s="8">
        <f t="shared" ref="L3:L22" si="0">(2-B3)*1000</f>
        <v>850.00000000000011</v>
      </c>
      <c r="M3" s="8">
        <v>0.42399999999999999</v>
      </c>
      <c r="N3" s="8">
        <f t="shared" ref="N3:N23" si="1">(M3-$M$23)</f>
        <v>0.219</v>
      </c>
      <c r="O3" s="8">
        <f t="shared" ref="O3:O23" si="2">N3*40</f>
        <v>8.76</v>
      </c>
    </row>
    <row r="4" spans="1:15" ht="28" customHeight="1" x14ac:dyDescent="0.2">
      <c r="A4" s="9" t="s">
        <v>220</v>
      </c>
      <c r="B4" s="9">
        <v>1.25</v>
      </c>
      <c r="C4" s="9" t="s">
        <v>221</v>
      </c>
      <c r="D4" s="9" t="s">
        <v>222</v>
      </c>
      <c r="E4" s="9" t="s">
        <v>12</v>
      </c>
      <c r="F4" s="9" t="s">
        <v>13</v>
      </c>
      <c r="G4" s="9">
        <v>1</v>
      </c>
      <c r="H4" s="9">
        <v>3</v>
      </c>
      <c r="I4" s="9" t="s">
        <v>223</v>
      </c>
      <c r="J4" s="9"/>
      <c r="K4" s="9">
        <v>6</v>
      </c>
      <c r="L4" s="8">
        <f t="shared" si="0"/>
        <v>750</v>
      </c>
      <c r="M4" s="8">
        <v>0.38900000000000001</v>
      </c>
      <c r="N4" s="8">
        <f t="shared" si="1"/>
        <v>0.18400000000000002</v>
      </c>
      <c r="O4" s="8">
        <f t="shared" si="2"/>
        <v>7.3600000000000012</v>
      </c>
    </row>
    <row r="5" spans="1:15" ht="28" customHeight="1" x14ac:dyDescent="0.2">
      <c r="A5" s="9" t="s">
        <v>217</v>
      </c>
      <c r="B5" s="9">
        <v>1.35</v>
      </c>
      <c r="C5" s="9" t="s">
        <v>218</v>
      </c>
      <c r="D5" s="9" t="s">
        <v>219</v>
      </c>
      <c r="E5" s="9" t="s">
        <v>12</v>
      </c>
      <c r="F5" s="9" t="s">
        <v>13</v>
      </c>
      <c r="G5" s="9">
        <v>1</v>
      </c>
      <c r="H5" s="9">
        <v>3</v>
      </c>
      <c r="I5" s="9" t="s">
        <v>83</v>
      </c>
      <c r="J5" s="9"/>
      <c r="K5" s="9">
        <v>6</v>
      </c>
      <c r="L5" s="8">
        <f t="shared" si="0"/>
        <v>649.99999999999989</v>
      </c>
      <c r="M5" s="8">
        <v>0.56000000000000005</v>
      </c>
      <c r="N5" s="8">
        <f t="shared" si="1"/>
        <v>0.35500000000000009</v>
      </c>
      <c r="O5" s="8">
        <f t="shared" si="2"/>
        <v>14.200000000000003</v>
      </c>
    </row>
    <row r="6" spans="1:15" ht="28" customHeight="1" x14ac:dyDescent="0.2">
      <c r="A6" s="9" t="s">
        <v>392</v>
      </c>
      <c r="B6" s="9">
        <v>1.1499999999999999</v>
      </c>
      <c r="C6" s="9" t="s">
        <v>393</v>
      </c>
      <c r="D6" s="9" t="s">
        <v>394</v>
      </c>
      <c r="E6" s="9" t="s">
        <v>12</v>
      </c>
      <c r="F6" s="9" t="s">
        <v>13</v>
      </c>
      <c r="G6" s="9">
        <v>1</v>
      </c>
      <c r="H6" s="9">
        <v>6</v>
      </c>
      <c r="I6" s="9" t="s">
        <v>223</v>
      </c>
      <c r="J6" s="9"/>
      <c r="K6" s="9">
        <v>6</v>
      </c>
      <c r="L6" s="8">
        <f t="shared" si="0"/>
        <v>850.00000000000011</v>
      </c>
      <c r="M6" s="8">
        <v>0.39100000000000001</v>
      </c>
      <c r="N6" s="8">
        <f t="shared" si="1"/>
        <v>0.18600000000000003</v>
      </c>
      <c r="O6" s="8">
        <f t="shared" si="2"/>
        <v>7.4400000000000013</v>
      </c>
    </row>
    <row r="7" spans="1:15" ht="28" customHeight="1" x14ac:dyDescent="0.2">
      <c r="A7" s="9" t="s">
        <v>20</v>
      </c>
      <c r="B7" s="9">
        <v>1.25</v>
      </c>
      <c r="C7" s="9" t="s">
        <v>21</v>
      </c>
      <c r="D7" s="9"/>
      <c r="E7" s="9" t="s">
        <v>12</v>
      </c>
      <c r="F7" s="9" t="s">
        <v>13</v>
      </c>
      <c r="G7" s="9">
        <v>1</v>
      </c>
      <c r="H7" s="9">
        <v>6</v>
      </c>
      <c r="I7" s="9" t="s">
        <v>22</v>
      </c>
      <c r="J7" s="9" t="s">
        <v>15</v>
      </c>
      <c r="K7" s="9">
        <v>6</v>
      </c>
      <c r="L7" s="8">
        <f t="shared" si="0"/>
        <v>750</v>
      </c>
      <c r="M7" s="8">
        <v>0.51500000000000001</v>
      </c>
      <c r="N7" s="8">
        <f t="shared" si="1"/>
        <v>0.31000000000000005</v>
      </c>
      <c r="O7" s="8">
        <f t="shared" si="2"/>
        <v>12.400000000000002</v>
      </c>
    </row>
    <row r="8" spans="1:15" ht="28" customHeight="1" x14ac:dyDescent="0.2">
      <c r="A8" s="9" t="s">
        <v>275</v>
      </c>
      <c r="B8" s="9">
        <v>1</v>
      </c>
      <c r="C8" s="9" t="s">
        <v>276</v>
      </c>
      <c r="D8" s="9" t="s">
        <v>277</v>
      </c>
      <c r="E8" s="9" t="s">
        <v>12</v>
      </c>
      <c r="F8" s="9" t="s">
        <v>13</v>
      </c>
      <c r="G8" s="9">
        <v>1</v>
      </c>
      <c r="H8" s="9">
        <v>16</v>
      </c>
      <c r="I8" s="9" t="s">
        <v>223</v>
      </c>
      <c r="J8" s="9"/>
      <c r="K8" s="9">
        <v>6</v>
      </c>
      <c r="L8" s="8">
        <f t="shared" si="0"/>
        <v>1000</v>
      </c>
      <c r="M8" s="8">
        <v>0.55500000000000005</v>
      </c>
      <c r="N8" s="8">
        <f t="shared" si="1"/>
        <v>0.35000000000000009</v>
      </c>
      <c r="O8" s="8">
        <f t="shared" si="2"/>
        <v>14.000000000000004</v>
      </c>
    </row>
    <row r="9" spans="1:15" ht="28" customHeight="1" x14ac:dyDescent="0.2">
      <c r="A9" s="9" t="s">
        <v>75</v>
      </c>
      <c r="B9" s="9">
        <v>1.25</v>
      </c>
      <c r="C9" s="9" t="s">
        <v>76</v>
      </c>
      <c r="D9" s="9"/>
      <c r="E9" s="9" t="s">
        <v>12</v>
      </c>
      <c r="F9" s="9" t="s">
        <v>13</v>
      </c>
      <c r="G9" s="9">
        <v>1</v>
      </c>
      <c r="H9" s="9">
        <v>16</v>
      </c>
      <c r="I9" s="9" t="s">
        <v>22</v>
      </c>
      <c r="J9" s="9" t="s">
        <v>15</v>
      </c>
      <c r="K9" s="9">
        <v>6</v>
      </c>
      <c r="L9" s="8">
        <f t="shared" si="0"/>
        <v>750</v>
      </c>
      <c r="M9" s="8">
        <v>0.66700000000000004</v>
      </c>
      <c r="N9" s="8">
        <f t="shared" si="1"/>
        <v>0.46200000000000008</v>
      </c>
      <c r="O9" s="8">
        <f t="shared" si="2"/>
        <v>18.480000000000004</v>
      </c>
    </row>
    <row r="10" spans="1:15" ht="28" customHeight="1" x14ac:dyDescent="0.2">
      <c r="A10" s="9" t="s">
        <v>353</v>
      </c>
      <c r="B10" s="9">
        <v>1</v>
      </c>
      <c r="C10" s="9" t="s">
        <v>354</v>
      </c>
      <c r="D10" s="9" t="s">
        <v>355</v>
      </c>
      <c r="E10" s="9" t="s">
        <v>87</v>
      </c>
      <c r="F10" s="9" t="s">
        <v>13</v>
      </c>
      <c r="G10" s="9">
        <v>2</v>
      </c>
      <c r="H10" s="9">
        <v>29</v>
      </c>
      <c r="I10" s="9" t="s">
        <v>223</v>
      </c>
      <c r="J10" s="9"/>
      <c r="K10" s="9">
        <v>6</v>
      </c>
      <c r="L10" s="8">
        <f t="shared" si="0"/>
        <v>1000</v>
      </c>
      <c r="M10" s="8">
        <v>0.34899999999999998</v>
      </c>
      <c r="N10" s="8">
        <f t="shared" si="1"/>
        <v>0.14399999999999999</v>
      </c>
      <c r="O10" s="8">
        <f t="shared" si="2"/>
        <v>5.76</v>
      </c>
    </row>
    <row r="11" spans="1:15" ht="28" customHeight="1" x14ac:dyDescent="0.2">
      <c r="A11" s="9" t="s">
        <v>160</v>
      </c>
      <c r="B11" s="9">
        <v>1</v>
      </c>
      <c r="C11" s="9" t="s">
        <v>161</v>
      </c>
      <c r="D11" s="9" t="s">
        <v>162</v>
      </c>
      <c r="E11" s="9" t="s">
        <v>87</v>
      </c>
      <c r="F11" s="9" t="s">
        <v>13</v>
      </c>
      <c r="G11" s="9">
        <v>2</v>
      </c>
      <c r="H11" s="9">
        <v>29</v>
      </c>
      <c r="I11" s="9" t="s">
        <v>83</v>
      </c>
      <c r="J11" s="9"/>
      <c r="K11" s="9">
        <v>6</v>
      </c>
      <c r="L11" s="8">
        <f t="shared" si="0"/>
        <v>1000</v>
      </c>
      <c r="M11" s="8">
        <v>0.68</v>
      </c>
      <c r="N11" s="8">
        <f t="shared" si="1"/>
        <v>0.47500000000000009</v>
      </c>
      <c r="O11" s="8">
        <f t="shared" si="2"/>
        <v>19.000000000000004</v>
      </c>
    </row>
    <row r="12" spans="1:15" ht="28" customHeight="1" x14ac:dyDescent="0.2">
      <c r="A12" s="9" t="s">
        <v>338</v>
      </c>
      <c r="B12" s="9">
        <v>1.2</v>
      </c>
      <c r="C12" s="9" t="s">
        <v>339</v>
      </c>
      <c r="D12" s="9" t="s">
        <v>340</v>
      </c>
      <c r="E12" s="9" t="s">
        <v>87</v>
      </c>
      <c r="F12" s="9" t="s">
        <v>13</v>
      </c>
      <c r="G12" s="9">
        <v>1</v>
      </c>
      <c r="H12" s="9">
        <v>30</v>
      </c>
      <c r="I12" s="9" t="s">
        <v>223</v>
      </c>
      <c r="J12" s="9"/>
      <c r="K12" s="9">
        <v>6</v>
      </c>
      <c r="L12" s="8">
        <f t="shared" si="0"/>
        <v>800</v>
      </c>
      <c r="M12" s="8">
        <v>0.307</v>
      </c>
      <c r="N12" s="8">
        <f t="shared" si="1"/>
        <v>0.10200000000000001</v>
      </c>
      <c r="O12" s="8">
        <f t="shared" si="2"/>
        <v>4.08</v>
      </c>
    </row>
    <row r="13" spans="1:15" ht="28" customHeight="1" x14ac:dyDescent="0.2">
      <c r="A13" s="9" t="s">
        <v>130</v>
      </c>
      <c r="B13" s="9">
        <v>1.25</v>
      </c>
      <c r="C13" s="9" t="s">
        <v>131</v>
      </c>
      <c r="D13" s="9" t="s">
        <v>132</v>
      </c>
      <c r="E13" s="9" t="s">
        <v>87</v>
      </c>
      <c r="F13" s="9" t="s">
        <v>13</v>
      </c>
      <c r="G13" s="9">
        <v>1</v>
      </c>
      <c r="H13" s="9">
        <v>30</v>
      </c>
      <c r="I13" s="9" t="s">
        <v>83</v>
      </c>
      <c r="J13" s="9"/>
      <c r="K13" s="9">
        <v>6</v>
      </c>
      <c r="L13" s="8">
        <f t="shared" si="0"/>
        <v>750</v>
      </c>
      <c r="M13" s="8">
        <v>0.47499999999999998</v>
      </c>
      <c r="N13" s="8">
        <f t="shared" si="1"/>
        <v>0.27</v>
      </c>
      <c r="O13" s="8">
        <f t="shared" si="2"/>
        <v>10.8</v>
      </c>
    </row>
    <row r="14" spans="1:15" ht="28" customHeight="1" x14ac:dyDescent="0.2">
      <c r="A14" s="9" t="s">
        <v>347</v>
      </c>
      <c r="B14" s="9">
        <v>1</v>
      </c>
      <c r="C14" s="9" t="s">
        <v>348</v>
      </c>
      <c r="D14" s="9" t="s">
        <v>349</v>
      </c>
      <c r="E14" s="9" t="s">
        <v>87</v>
      </c>
      <c r="F14" s="9" t="s">
        <v>13</v>
      </c>
      <c r="G14" s="9">
        <v>2</v>
      </c>
      <c r="H14" s="9">
        <v>33</v>
      </c>
      <c r="I14" s="9" t="s">
        <v>223</v>
      </c>
      <c r="J14" s="9"/>
      <c r="K14" s="9">
        <v>6</v>
      </c>
      <c r="L14" s="8">
        <f t="shared" si="0"/>
        <v>1000</v>
      </c>
      <c r="M14" s="8">
        <v>0.47699999999999998</v>
      </c>
      <c r="N14" s="8">
        <f t="shared" si="1"/>
        <v>0.27200000000000002</v>
      </c>
      <c r="O14" s="8">
        <f t="shared" si="2"/>
        <v>10.88</v>
      </c>
    </row>
    <row r="15" spans="1:15" ht="28" customHeight="1" x14ac:dyDescent="0.2">
      <c r="A15" s="9" t="s">
        <v>163</v>
      </c>
      <c r="B15" s="9">
        <v>1.35</v>
      </c>
      <c r="C15" s="9" t="s">
        <v>164</v>
      </c>
      <c r="D15" s="9" t="s">
        <v>165</v>
      </c>
      <c r="E15" s="9" t="s">
        <v>87</v>
      </c>
      <c r="F15" s="9" t="s">
        <v>13</v>
      </c>
      <c r="G15" s="9">
        <v>1</v>
      </c>
      <c r="H15" s="9">
        <v>33</v>
      </c>
      <c r="I15" s="9" t="s">
        <v>83</v>
      </c>
      <c r="J15" s="9"/>
      <c r="K15" s="9">
        <v>6</v>
      </c>
      <c r="L15" s="8">
        <f t="shared" si="0"/>
        <v>649.99999999999989</v>
      </c>
      <c r="M15" s="8">
        <v>0.32700000000000001</v>
      </c>
      <c r="N15" s="8">
        <f t="shared" si="1"/>
        <v>0.12200000000000003</v>
      </c>
      <c r="O15" s="8">
        <f t="shared" si="2"/>
        <v>4.8800000000000008</v>
      </c>
    </row>
    <row r="16" spans="1:15" ht="28" customHeight="1" x14ac:dyDescent="0.2">
      <c r="A16" s="9" t="s">
        <v>335</v>
      </c>
      <c r="B16" s="9">
        <v>1.25</v>
      </c>
      <c r="C16" s="9" t="s">
        <v>336</v>
      </c>
      <c r="D16" s="9" t="s">
        <v>337</v>
      </c>
      <c r="E16" s="9" t="s">
        <v>87</v>
      </c>
      <c r="F16" s="9" t="s">
        <v>13</v>
      </c>
      <c r="G16" s="9">
        <v>1</v>
      </c>
      <c r="H16" s="9">
        <v>37</v>
      </c>
      <c r="I16" s="9" t="s">
        <v>223</v>
      </c>
      <c r="J16" s="9"/>
      <c r="K16" s="9">
        <v>6</v>
      </c>
      <c r="L16" s="8">
        <f t="shared" si="0"/>
        <v>750</v>
      </c>
      <c r="M16" s="8">
        <v>0.42099999999999999</v>
      </c>
      <c r="N16" s="8">
        <f t="shared" si="1"/>
        <v>0.216</v>
      </c>
      <c r="O16" s="8">
        <f t="shared" si="2"/>
        <v>8.64</v>
      </c>
    </row>
    <row r="17" spans="1:15" ht="28" customHeight="1" x14ac:dyDescent="0.2">
      <c r="A17" s="9" t="s">
        <v>136</v>
      </c>
      <c r="B17" s="9">
        <v>1.3</v>
      </c>
      <c r="C17" s="9" t="s">
        <v>137</v>
      </c>
      <c r="D17" s="9" t="s">
        <v>138</v>
      </c>
      <c r="E17" s="9" t="s">
        <v>87</v>
      </c>
      <c r="F17" s="9" t="s">
        <v>13</v>
      </c>
      <c r="G17" s="9">
        <v>1</v>
      </c>
      <c r="H17" s="9">
        <v>37</v>
      </c>
      <c r="I17" s="9" t="s">
        <v>83</v>
      </c>
      <c r="J17" s="9"/>
      <c r="K17" s="9">
        <v>6</v>
      </c>
      <c r="L17" s="8">
        <f t="shared" si="0"/>
        <v>700</v>
      </c>
      <c r="M17" s="8">
        <v>0.40100000000000002</v>
      </c>
      <c r="N17" s="8">
        <f t="shared" si="1"/>
        <v>0.19600000000000004</v>
      </c>
      <c r="O17" s="8">
        <f t="shared" si="2"/>
        <v>7.8400000000000016</v>
      </c>
    </row>
    <row r="18" spans="1:15" ht="28" customHeight="1" x14ac:dyDescent="0.2">
      <c r="A18" s="9" t="s">
        <v>29</v>
      </c>
      <c r="B18" s="9">
        <v>1.25</v>
      </c>
      <c r="C18" s="9" t="s">
        <v>30</v>
      </c>
      <c r="D18" s="9"/>
      <c r="E18" s="9" t="s">
        <v>12</v>
      </c>
      <c r="F18" s="9" t="s">
        <v>13</v>
      </c>
      <c r="G18" s="9">
        <v>1</v>
      </c>
      <c r="H18" s="9"/>
      <c r="I18" s="9" t="s">
        <v>14</v>
      </c>
      <c r="J18" s="9" t="s">
        <v>15</v>
      </c>
      <c r="K18" s="9">
        <v>6</v>
      </c>
      <c r="L18" s="8">
        <f t="shared" si="0"/>
        <v>750</v>
      </c>
      <c r="M18" s="8">
        <v>0.33100000000000002</v>
      </c>
      <c r="N18" s="8">
        <f t="shared" si="1"/>
        <v>0.12600000000000003</v>
      </c>
      <c r="O18" s="8">
        <f t="shared" si="2"/>
        <v>5.0400000000000009</v>
      </c>
    </row>
    <row r="19" spans="1:15" ht="28" customHeight="1" x14ac:dyDescent="0.2">
      <c r="A19" s="9" t="s">
        <v>31</v>
      </c>
      <c r="B19" s="9">
        <v>1.25</v>
      </c>
      <c r="C19" s="9" t="s">
        <v>32</v>
      </c>
      <c r="D19" s="9"/>
      <c r="E19" s="9" t="s">
        <v>12</v>
      </c>
      <c r="F19" s="9" t="s">
        <v>13</v>
      </c>
      <c r="G19" s="9">
        <v>1</v>
      </c>
      <c r="H19" s="9"/>
      <c r="I19" s="9" t="s">
        <v>14</v>
      </c>
      <c r="J19" s="9" t="s">
        <v>15</v>
      </c>
      <c r="K19" s="9">
        <v>6</v>
      </c>
      <c r="L19" s="8">
        <f t="shared" si="0"/>
        <v>750</v>
      </c>
      <c r="M19" s="8">
        <v>0.622</v>
      </c>
      <c r="N19" s="8">
        <f t="shared" si="1"/>
        <v>0.41700000000000004</v>
      </c>
      <c r="O19" s="8">
        <f t="shared" si="2"/>
        <v>16.68</v>
      </c>
    </row>
    <row r="20" spans="1:15" ht="28" customHeight="1" x14ac:dyDescent="0.2">
      <c r="A20" s="9" t="s">
        <v>63</v>
      </c>
      <c r="B20" s="9">
        <v>1.2</v>
      </c>
      <c r="C20" s="9" t="s">
        <v>64</v>
      </c>
      <c r="D20" s="9"/>
      <c r="E20" s="9" t="s">
        <v>12</v>
      </c>
      <c r="F20" s="9" t="s">
        <v>13</v>
      </c>
      <c r="G20" s="9">
        <v>1</v>
      </c>
      <c r="H20" s="9"/>
      <c r="I20" s="9" t="s">
        <v>14</v>
      </c>
      <c r="J20" s="9" t="s">
        <v>15</v>
      </c>
      <c r="K20" s="9">
        <v>6</v>
      </c>
      <c r="L20" s="8">
        <f t="shared" si="0"/>
        <v>800</v>
      </c>
      <c r="M20" s="8">
        <v>0.23499999999999999</v>
      </c>
      <c r="N20" s="8">
        <f t="shared" si="1"/>
        <v>0.03</v>
      </c>
      <c r="O20" s="8">
        <f t="shared" si="2"/>
        <v>1.2</v>
      </c>
    </row>
    <row r="21" spans="1:15" ht="28" customHeight="1" x14ac:dyDescent="0.2">
      <c r="A21" s="9" t="s">
        <v>175</v>
      </c>
      <c r="B21" s="9">
        <v>1</v>
      </c>
      <c r="C21" s="9" t="s">
        <v>176</v>
      </c>
      <c r="D21" s="9" t="s">
        <v>177</v>
      </c>
      <c r="E21" s="9" t="s">
        <v>12</v>
      </c>
      <c r="F21" s="9" t="s">
        <v>13</v>
      </c>
      <c r="G21" s="9">
        <v>2</v>
      </c>
      <c r="H21" s="9"/>
      <c r="I21" s="9" t="s">
        <v>14</v>
      </c>
      <c r="J21" s="9"/>
      <c r="K21" s="9">
        <v>6</v>
      </c>
      <c r="L21" s="8">
        <f t="shared" si="0"/>
        <v>1000</v>
      </c>
      <c r="M21" s="8">
        <v>0.41199999999999998</v>
      </c>
      <c r="N21" s="8">
        <f t="shared" si="1"/>
        <v>0.20699999999999999</v>
      </c>
      <c r="O21" s="8">
        <f t="shared" si="2"/>
        <v>8.2799999999999994</v>
      </c>
    </row>
    <row r="22" spans="1:15" ht="28" customHeight="1" x14ac:dyDescent="0.2">
      <c r="A22" s="9" t="s">
        <v>55</v>
      </c>
      <c r="B22" s="9">
        <v>1.25</v>
      </c>
      <c r="C22" s="9" t="s">
        <v>56</v>
      </c>
      <c r="D22" s="9"/>
      <c r="E22" s="9" t="s">
        <v>12</v>
      </c>
      <c r="F22" s="9" t="s">
        <v>13</v>
      </c>
      <c r="G22" s="9">
        <v>1</v>
      </c>
      <c r="H22" s="9"/>
      <c r="I22" s="9" t="s">
        <v>14</v>
      </c>
      <c r="J22" s="9" t="s">
        <v>15</v>
      </c>
      <c r="K22" s="9">
        <v>6</v>
      </c>
      <c r="L22" s="8">
        <f t="shared" si="0"/>
        <v>750</v>
      </c>
      <c r="M22" s="8">
        <v>0.438</v>
      </c>
      <c r="N22" s="8">
        <f t="shared" si="1"/>
        <v>0.23300000000000001</v>
      </c>
      <c r="O22" s="8">
        <f t="shared" si="2"/>
        <v>9.32</v>
      </c>
    </row>
    <row r="23" spans="1:15" ht="28" customHeight="1" x14ac:dyDescent="0.2">
      <c r="A23" s="9" t="s">
        <v>455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8"/>
      <c r="M23" s="8">
        <v>0.20499999999999999</v>
      </c>
      <c r="N23" s="8">
        <f t="shared" si="1"/>
        <v>0</v>
      </c>
      <c r="O23" s="8">
        <f t="shared" si="2"/>
        <v>0</v>
      </c>
    </row>
  </sheetData>
  <sortState xmlns:xlrd2="http://schemas.microsoft.com/office/spreadsheetml/2017/richdata2" ref="A2:K23">
    <sortCondition ref="H2:H23"/>
  </sortState>
  <conditionalFormatting sqref="A2:A23">
    <cfRule type="duplicateValues" dxfId="1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C26B-7DEA-504F-990D-1319731FB7EB}">
  <dimension ref="A1:U286"/>
  <sheetViews>
    <sheetView topLeftCell="M185" zoomScale="93" workbookViewId="0">
      <selection activeCell="Q215" sqref="Q215"/>
    </sheetView>
  </sheetViews>
  <sheetFormatPr baseColWidth="10" defaultRowHeight="15" x14ac:dyDescent="0.2"/>
  <cols>
    <col min="1" max="1" width="50.33203125" bestFit="1" customWidth="1"/>
    <col min="2" max="2" width="29.83203125" bestFit="1" customWidth="1"/>
    <col min="3" max="3" width="53.33203125" bestFit="1" customWidth="1"/>
    <col min="4" max="4" width="22.33203125" bestFit="1" customWidth="1"/>
    <col min="5" max="5" width="18.5" bestFit="1" customWidth="1"/>
    <col min="6" max="6" width="26.6640625" bestFit="1" customWidth="1"/>
    <col min="7" max="7" width="18.5" bestFit="1" customWidth="1"/>
    <col min="8" max="8" width="26.6640625" bestFit="1" customWidth="1"/>
    <col min="9" max="9" width="28.1640625" bestFit="1" customWidth="1"/>
    <col min="10" max="10" width="25.83203125" bestFit="1" customWidth="1"/>
    <col min="11" max="11" width="29.33203125" bestFit="1" customWidth="1"/>
    <col min="12" max="12" width="33.83203125" bestFit="1" customWidth="1"/>
    <col min="13" max="13" width="29.33203125" bestFit="1" customWidth="1"/>
    <col min="14" max="14" width="33.33203125" bestFit="1" customWidth="1"/>
    <col min="15" max="15" width="35.83203125" bestFit="1" customWidth="1"/>
    <col min="16" max="16" width="30.1640625" bestFit="1" customWidth="1"/>
    <col min="17" max="17" width="51.1640625" bestFit="1" customWidth="1"/>
    <col min="18" max="18" width="33.6640625" bestFit="1" customWidth="1"/>
    <col min="19" max="19" width="34.83203125" bestFit="1" customWidth="1"/>
    <col min="20" max="20" width="24.6640625" bestFit="1" customWidth="1"/>
    <col min="21" max="21" width="23.5" bestFit="1" customWidth="1"/>
  </cols>
  <sheetData>
    <row r="1" spans="1:19" x14ac:dyDescent="0.2">
      <c r="A1" s="8" t="s">
        <v>0</v>
      </c>
      <c r="B1" s="8" t="s">
        <v>1</v>
      </c>
      <c r="C1" s="8" t="s">
        <v>2</v>
      </c>
      <c r="D1" s="8"/>
      <c r="E1" s="8" t="s">
        <v>4</v>
      </c>
      <c r="F1" s="8" t="s">
        <v>5</v>
      </c>
      <c r="G1" s="8" t="s">
        <v>7</v>
      </c>
      <c r="H1" s="8" t="s">
        <v>8</v>
      </c>
      <c r="I1" s="8"/>
      <c r="J1" s="8" t="s">
        <v>395</v>
      </c>
      <c r="K1" s="8" t="s">
        <v>396</v>
      </c>
      <c r="L1" s="8" t="s">
        <v>397</v>
      </c>
      <c r="M1" s="8" t="s">
        <v>400</v>
      </c>
      <c r="N1" s="8" t="s">
        <v>521</v>
      </c>
      <c r="R1" s="19" t="s">
        <v>522</v>
      </c>
      <c r="S1" s="19">
        <v>130</v>
      </c>
    </row>
    <row r="2" spans="1:19" x14ac:dyDescent="0.2">
      <c r="A2" s="8" t="s">
        <v>380</v>
      </c>
      <c r="B2" s="8">
        <v>1.4</v>
      </c>
      <c r="C2" s="8" t="s">
        <v>381</v>
      </c>
      <c r="D2" s="8"/>
      <c r="E2" s="8" t="s">
        <v>12</v>
      </c>
      <c r="F2" s="8" t="s">
        <v>13</v>
      </c>
      <c r="G2" s="8">
        <v>1</v>
      </c>
      <c r="H2" s="8" t="s">
        <v>83</v>
      </c>
      <c r="I2" s="8"/>
      <c r="J2" s="8">
        <v>1</v>
      </c>
      <c r="K2" s="8">
        <v>600.00000000000011</v>
      </c>
      <c r="L2" s="8">
        <v>0.32</v>
      </c>
      <c r="M2" s="8">
        <v>4.0999999999999981E-2</v>
      </c>
      <c r="N2" s="8">
        <v>1.6399999999999992</v>
      </c>
    </row>
    <row r="3" spans="1:19" x14ac:dyDescent="0.2">
      <c r="A3" s="8" t="s">
        <v>35</v>
      </c>
      <c r="B3" s="8">
        <v>1</v>
      </c>
      <c r="C3" s="8" t="s">
        <v>36</v>
      </c>
      <c r="D3" s="8"/>
      <c r="E3" s="8" t="s">
        <v>12</v>
      </c>
      <c r="F3" s="8" t="s">
        <v>13</v>
      </c>
      <c r="G3" s="8" t="s">
        <v>14</v>
      </c>
      <c r="H3" s="8" t="s">
        <v>14</v>
      </c>
      <c r="I3" s="8"/>
      <c r="J3" s="8">
        <v>1</v>
      </c>
      <c r="K3" s="8">
        <v>1000</v>
      </c>
      <c r="L3" s="8">
        <v>0.435</v>
      </c>
      <c r="M3" s="8">
        <v>0.15599999999999997</v>
      </c>
      <c r="N3" s="8">
        <v>6.2399999999999984</v>
      </c>
    </row>
    <row r="4" spans="1:19" x14ac:dyDescent="0.2">
      <c r="A4" s="8" t="s">
        <v>254</v>
      </c>
      <c r="B4" s="8">
        <v>1.25</v>
      </c>
      <c r="C4" s="8" t="s">
        <v>255</v>
      </c>
      <c r="D4" s="8"/>
      <c r="E4" s="8" t="s">
        <v>12</v>
      </c>
      <c r="F4" s="8" t="s">
        <v>13</v>
      </c>
      <c r="G4" s="8">
        <v>1</v>
      </c>
      <c r="H4" s="8" t="s">
        <v>223</v>
      </c>
      <c r="I4" s="8"/>
      <c r="J4" s="8">
        <v>1</v>
      </c>
      <c r="K4" s="8">
        <v>750</v>
      </c>
      <c r="L4" s="8">
        <v>0.46</v>
      </c>
      <c r="M4" s="8">
        <v>0.18099999999999999</v>
      </c>
      <c r="N4" s="8">
        <v>7.24</v>
      </c>
      <c r="R4" s="19" t="s">
        <v>516</v>
      </c>
      <c r="S4" s="19">
        <v>127</v>
      </c>
    </row>
    <row r="5" spans="1:19" x14ac:dyDescent="0.2">
      <c r="A5" s="8" t="s">
        <v>37</v>
      </c>
      <c r="B5" s="8">
        <v>1.2</v>
      </c>
      <c r="C5" s="8" t="s">
        <v>38</v>
      </c>
      <c r="D5" s="8"/>
      <c r="E5" s="8" t="s">
        <v>12</v>
      </c>
      <c r="F5" s="8" t="s">
        <v>13</v>
      </c>
      <c r="G5" s="8">
        <v>12</v>
      </c>
      <c r="H5" s="8" t="s">
        <v>22</v>
      </c>
      <c r="I5" s="8"/>
      <c r="J5" s="8">
        <v>1</v>
      </c>
      <c r="K5" s="8">
        <v>800</v>
      </c>
      <c r="L5" s="8">
        <v>0.48099999999999998</v>
      </c>
      <c r="M5" s="8">
        <v>0.20199999999999996</v>
      </c>
      <c r="N5" s="8">
        <v>8.0799999999999983</v>
      </c>
    </row>
    <row r="6" spans="1:19" x14ac:dyDescent="0.2">
      <c r="A6" s="8" t="s">
        <v>84</v>
      </c>
      <c r="B6" s="8">
        <v>1.3</v>
      </c>
      <c r="C6" s="8" t="s">
        <v>85</v>
      </c>
      <c r="D6" s="8"/>
      <c r="E6" s="8" t="s">
        <v>87</v>
      </c>
      <c r="F6" s="8" t="s">
        <v>13</v>
      </c>
      <c r="G6" s="8">
        <v>34</v>
      </c>
      <c r="H6" s="8" t="s">
        <v>83</v>
      </c>
      <c r="I6" s="8"/>
      <c r="J6" s="8">
        <v>1</v>
      </c>
      <c r="K6" s="8">
        <v>700</v>
      </c>
      <c r="L6" s="8">
        <v>0.49099999999999999</v>
      </c>
      <c r="M6" s="8">
        <v>0.21199999999999997</v>
      </c>
      <c r="N6" s="8">
        <v>8.4799999999999986</v>
      </c>
    </row>
    <row r="7" spans="1:19" x14ac:dyDescent="0.2">
      <c r="A7" s="8" t="s">
        <v>169</v>
      </c>
      <c r="B7" s="8">
        <v>1</v>
      </c>
      <c r="C7" s="8" t="s">
        <v>170</v>
      </c>
      <c r="D7" s="8"/>
      <c r="E7" s="8" t="s">
        <v>12</v>
      </c>
      <c r="F7" s="8" t="s">
        <v>13</v>
      </c>
      <c r="G7" s="8" t="s">
        <v>14</v>
      </c>
      <c r="H7" s="8" t="s">
        <v>14</v>
      </c>
      <c r="I7" s="8"/>
      <c r="J7" s="8">
        <v>1</v>
      </c>
      <c r="K7" s="8">
        <v>1000</v>
      </c>
      <c r="L7" s="8">
        <v>0.495</v>
      </c>
      <c r="M7" s="8">
        <v>0.21599999999999997</v>
      </c>
      <c r="N7" s="8">
        <v>8.6399999999999988</v>
      </c>
    </row>
    <row r="8" spans="1:19" x14ac:dyDescent="0.2">
      <c r="A8" s="8" t="s">
        <v>49</v>
      </c>
      <c r="B8" s="8">
        <v>1.25</v>
      </c>
      <c r="C8" s="8" t="s">
        <v>50</v>
      </c>
      <c r="D8" s="8"/>
      <c r="E8" s="8" t="s">
        <v>12</v>
      </c>
      <c r="F8" s="8" t="s">
        <v>13</v>
      </c>
      <c r="G8" s="8" t="s">
        <v>14</v>
      </c>
      <c r="H8" s="8" t="s">
        <v>14</v>
      </c>
      <c r="I8" s="8"/>
      <c r="J8" s="8">
        <v>1</v>
      </c>
      <c r="K8" s="8">
        <v>750</v>
      </c>
      <c r="L8" s="8">
        <v>0.503</v>
      </c>
      <c r="M8" s="8">
        <v>0.22399999999999998</v>
      </c>
      <c r="N8" s="8">
        <v>8.9599999999999991</v>
      </c>
    </row>
    <row r="9" spans="1:19" x14ac:dyDescent="0.2">
      <c r="A9" s="8" t="s">
        <v>365</v>
      </c>
      <c r="B9" s="8">
        <v>1.3</v>
      </c>
      <c r="C9" s="8" t="s">
        <v>366</v>
      </c>
      <c r="D9" s="8"/>
      <c r="E9" s="8" t="s">
        <v>12</v>
      </c>
      <c r="F9" s="8" t="s">
        <v>13</v>
      </c>
      <c r="G9" s="8">
        <v>5</v>
      </c>
      <c r="H9" s="8" t="s">
        <v>83</v>
      </c>
      <c r="I9" s="8"/>
      <c r="J9" s="8">
        <v>1</v>
      </c>
      <c r="K9" s="8">
        <v>700</v>
      </c>
      <c r="L9" s="8">
        <v>0.503</v>
      </c>
      <c r="M9" s="8">
        <v>0.22399999999999998</v>
      </c>
      <c r="N9" s="8">
        <v>8.9599999999999991</v>
      </c>
    </row>
    <row r="10" spans="1:19" x14ac:dyDescent="0.2">
      <c r="A10" s="8" t="s">
        <v>329</v>
      </c>
      <c r="B10" s="8">
        <v>1</v>
      </c>
      <c r="C10" s="8" t="s">
        <v>330</v>
      </c>
      <c r="D10" s="8"/>
      <c r="E10" s="8" t="s">
        <v>87</v>
      </c>
      <c r="F10" s="8" t="s">
        <v>13</v>
      </c>
      <c r="G10" s="8">
        <v>42</v>
      </c>
      <c r="H10" s="8" t="s">
        <v>223</v>
      </c>
      <c r="I10" s="8"/>
      <c r="J10" s="8">
        <v>1</v>
      </c>
      <c r="K10" s="8">
        <v>1000</v>
      </c>
      <c r="L10" s="8">
        <v>0.52300000000000002</v>
      </c>
      <c r="M10" s="8">
        <v>0.24399999999999999</v>
      </c>
      <c r="N10" s="8">
        <v>9.76</v>
      </c>
    </row>
    <row r="11" spans="1:19" x14ac:dyDescent="0.2">
      <c r="A11" s="8" t="s">
        <v>41</v>
      </c>
      <c r="B11" s="8">
        <v>1.25</v>
      </c>
      <c r="C11" s="8" t="s">
        <v>42</v>
      </c>
      <c r="D11" s="8"/>
      <c r="E11" s="8" t="s">
        <v>12</v>
      </c>
      <c r="F11" s="8" t="s">
        <v>13</v>
      </c>
      <c r="G11" s="8" t="s">
        <v>14</v>
      </c>
      <c r="H11" s="8" t="s">
        <v>14</v>
      </c>
      <c r="I11" s="8"/>
      <c r="J11" s="8">
        <v>1</v>
      </c>
      <c r="K11" s="8">
        <v>750</v>
      </c>
      <c r="L11" s="8">
        <v>0.55500000000000005</v>
      </c>
      <c r="M11" s="8">
        <v>0.27600000000000002</v>
      </c>
      <c r="N11" s="8">
        <v>11.040000000000001</v>
      </c>
    </row>
    <row r="12" spans="1:19" x14ac:dyDescent="0.2">
      <c r="A12" s="8" t="s">
        <v>269</v>
      </c>
      <c r="B12" s="8">
        <v>1.4</v>
      </c>
      <c r="C12" s="8" t="s">
        <v>270</v>
      </c>
      <c r="D12" s="8"/>
      <c r="E12" s="8" t="s">
        <v>12</v>
      </c>
      <c r="F12" s="8" t="s">
        <v>13</v>
      </c>
      <c r="G12" s="8">
        <v>5</v>
      </c>
      <c r="H12" s="8" t="s">
        <v>223</v>
      </c>
      <c r="I12" s="8"/>
      <c r="J12" s="8">
        <v>1</v>
      </c>
      <c r="K12" s="8">
        <v>600.00000000000011</v>
      </c>
      <c r="L12" s="8">
        <v>0.55500000000000005</v>
      </c>
      <c r="M12" s="8">
        <v>0.27600000000000002</v>
      </c>
      <c r="N12" s="8">
        <v>11.040000000000001</v>
      </c>
      <c r="R12" s="19" t="s">
        <v>517</v>
      </c>
      <c r="S12" s="19">
        <f>AVERAGE(N1:N70)</f>
        <v>15.294550724637682</v>
      </c>
    </row>
    <row r="13" spans="1:19" x14ac:dyDescent="0.2">
      <c r="A13" s="8" t="s">
        <v>18</v>
      </c>
      <c r="B13" s="8">
        <v>1.25</v>
      </c>
      <c r="C13" s="8" t="s">
        <v>19</v>
      </c>
      <c r="D13" s="8"/>
      <c r="E13" s="8" t="s">
        <v>12</v>
      </c>
      <c r="F13" s="8" t="s">
        <v>13</v>
      </c>
      <c r="G13" s="8" t="s">
        <v>14</v>
      </c>
      <c r="H13" s="8" t="s">
        <v>14</v>
      </c>
      <c r="I13" s="8"/>
      <c r="J13" s="8">
        <v>1</v>
      </c>
      <c r="K13" s="8">
        <v>750</v>
      </c>
      <c r="L13" s="8">
        <v>0.60099999999999998</v>
      </c>
      <c r="M13" s="8">
        <v>0.32199999999999995</v>
      </c>
      <c r="N13" s="8">
        <v>12.879999999999999</v>
      </c>
    </row>
    <row r="14" spans="1:19" x14ac:dyDescent="0.2">
      <c r="A14" s="8" t="s">
        <v>211</v>
      </c>
      <c r="B14" s="8">
        <v>1.4</v>
      </c>
      <c r="C14" s="8" t="s">
        <v>212</v>
      </c>
      <c r="D14" s="8"/>
      <c r="E14" s="8" t="s">
        <v>12</v>
      </c>
      <c r="F14" s="8" t="s">
        <v>13</v>
      </c>
      <c r="G14" s="8" t="s">
        <v>14</v>
      </c>
      <c r="H14" s="8" t="s">
        <v>14</v>
      </c>
      <c r="I14" s="8"/>
      <c r="J14" s="8">
        <v>1</v>
      </c>
      <c r="K14" s="8">
        <v>600.00000000000011</v>
      </c>
      <c r="L14" s="8">
        <v>0.61599999999999999</v>
      </c>
      <c r="M14" s="8">
        <v>0.33699999999999997</v>
      </c>
      <c r="N14" s="8">
        <v>13.479999999999999</v>
      </c>
    </row>
    <row r="15" spans="1:19" x14ac:dyDescent="0.2">
      <c r="A15" s="8" t="s">
        <v>377</v>
      </c>
      <c r="B15" s="8">
        <v>1.4</v>
      </c>
      <c r="C15" s="8" t="s">
        <v>378</v>
      </c>
      <c r="D15" s="8"/>
      <c r="E15" s="8" t="s">
        <v>12</v>
      </c>
      <c r="F15" s="8" t="s">
        <v>13</v>
      </c>
      <c r="G15" s="8">
        <v>13</v>
      </c>
      <c r="H15" s="8" t="s">
        <v>83</v>
      </c>
      <c r="I15" s="8"/>
      <c r="J15" s="8">
        <v>1</v>
      </c>
      <c r="K15" s="8">
        <v>600.00000000000011</v>
      </c>
      <c r="L15" s="8">
        <v>0.64700000000000002</v>
      </c>
      <c r="M15" s="8">
        <v>0.36799999999999999</v>
      </c>
      <c r="N15" s="8">
        <v>14.719999999999999</v>
      </c>
      <c r="R15" s="19" t="s">
        <v>520</v>
      </c>
      <c r="S15" s="19">
        <f>STDEV(M8:M144)</f>
        <v>0.32213417817780421</v>
      </c>
    </row>
    <row r="16" spans="1:19" x14ac:dyDescent="0.2">
      <c r="A16" s="8" t="s">
        <v>202</v>
      </c>
      <c r="B16" s="8">
        <v>1</v>
      </c>
      <c r="C16" s="8" t="s">
        <v>203</v>
      </c>
      <c r="D16" s="8"/>
      <c r="E16" s="8" t="s">
        <v>12</v>
      </c>
      <c r="F16" s="8" t="s">
        <v>13</v>
      </c>
      <c r="G16" s="8" t="s">
        <v>14</v>
      </c>
      <c r="H16" s="8" t="s">
        <v>14</v>
      </c>
      <c r="I16" s="8"/>
      <c r="J16" s="8">
        <v>1</v>
      </c>
      <c r="K16" s="8">
        <v>1000</v>
      </c>
      <c r="L16" s="8">
        <v>0.66700000000000004</v>
      </c>
      <c r="M16" s="8">
        <v>0.38800000000000001</v>
      </c>
      <c r="N16" s="8">
        <v>15.52</v>
      </c>
    </row>
    <row r="17" spans="1:19" x14ac:dyDescent="0.2">
      <c r="A17" s="8" t="s">
        <v>362</v>
      </c>
      <c r="B17" s="8">
        <v>1.2</v>
      </c>
      <c r="C17" s="8" t="s">
        <v>363</v>
      </c>
      <c r="D17" s="8"/>
      <c r="E17" s="8" t="s">
        <v>12</v>
      </c>
      <c r="F17" s="8" t="s">
        <v>13</v>
      </c>
      <c r="G17" s="8">
        <v>12</v>
      </c>
      <c r="H17" s="8" t="s">
        <v>223</v>
      </c>
      <c r="I17" s="8"/>
      <c r="J17" s="8">
        <v>1</v>
      </c>
      <c r="K17" s="8">
        <v>800</v>
      </c>
      <c r="L17" s="8">
        <v>0.74</v>
      </c>
      <c r="M17" s="8">
        <v>0.46099999999999997</v>
      </c>
      <c r="N17" s="8">
        <v>18.439999999999998</v>
      </c>
      <c r="R17" s="19" t="s">
        <v>518</v>
      </c>
      <c r="S17" s="19">
        <f>STDEV(N13:N141)</f>
        <v>10.124685356799661</v>
      </c>
    </row>
    <row r="18" spans="1:19" x14ac:dyDescent="0.2">
      <c r="A18" s="8" t="s">
        <v>124</v>
      </c>
      <c r="B18" s="8">
        <v>1.4</v>
      </c>
      <c r="C18" s="8" t="s">
        <v>125</v>
      </c>
      <c r="D18" s="8"/>
      <c r="E18" s="8" t="s">
        <v>87</v>
      </c>
      <c r="F18" s="8" t="s">
        <v>13</v>
      </c>
      <c r="G18" s="8">
        <v>42</v>
      </c>
      <c r="H18" s="8" t="s">
        <v>83</v>
      </c>
      <c r="I18" s="8"/>
      <c r="J18" s="8">
        <v>1</v>
      </c>
      <c r="K18" s="8">
        <v>600.00000000000011</v>
      </c>
      <c r="L18" s="8">
        <v>0.74</v>
      </c>
      <c r="M18" s="8">
        <v>0.46099999999999997</v>
      </c>
      <c r="N18" s="8">
        <v>18.439999999999998</v>
      </c>
    </row>
    <row r="19" spans="1:19" x14ac:dyDescent="0.2">
      <c r="A19" s="8" t="s">
        <v>296</v>
      </c>
      <c r="B19" s="8">
        <v>1.4</v>
      </c>
      <c r="C19" s="8" t="s">
        <v>297</v>
      </c>
      <c r="D19" s="8"/>
      <c r="E19" s="8" t="s">
        <v>87</v>
      </c>
      <c r="F19" s="8" t="s">
        <v>13</v>
      </c>
      <c r="G19" s="8">
        <v>34</v>
      </c>
      <c r="H19" s="8" t="s">
        <v>223</v>
      </c>
      <c r="I19" s="8"/>
      <c r="J19" s="8">
        <v>1</v>
      </c>
      <c r="K19" s="8">
        <v>600.00000000000011</v>
      </c>
      <c r="L19" s="8">
        <v>0.76</v>
      </c>
      <c r="M19" s="8">
        <v>0.48099999999999998</v>
      </c>
      <c r="N19" s="8">
        <v>19.239999999999998</v>
      </c>
    </row>
    <row r="20" spans="1:19" x14ac:dyDescent="0.2">
      <c r="A20" s="8" t="s">
        <v>157</v>
      </c>
      <c r="B20" s="8">
        <v>1.2</v>
      </c>
      <c r="C20" s="8" t="s">
        <v>158</v>
      </c>
      <c r="D20" s="8"/>
      <c r="E20" s="8" t="s">
        <v>87</v>
      </c>
      <c r="F20" s="8" t="s">
        <v>13</v>
      </c>
      <c r="G20" s="8">
        <v>43</v>
      </c>
      <c r="H20" s="8" t="s">
        <v>83</v>
      </c>
      <c r="I20" s="8"/>
      <c r="J20" s="8">
        <v>1</v>
      </c>
      <c r="K20" s="8">
        <v>800</v>
      </c>
      <c r="L20" s="8">
        <v>0.77300000000000002</v>
      </c>
      <c r="M20" s="8">
        <v>0.49399999999999999</v>
      </c>
      <c r="N20" s="8">
        <v>19.759999999999998</v>
      </c>
    </row>
    <row r="21" spans="1:19" x14ac:dyDescent="0.2">
      <c r="A21" s="8" t="s">
        <v>154</v>
      </c>
      <c r="B21" s="8">
        <v>1.1499999999999999</v>
      </c>
      <c r="C21" s="8" t="s">
        <v>155</v>
      </c>
      <c r="D21" s="8"/>
      <c r="E21" s="8" t="s">
        <v>87</v>
      </c>
      <c r="F21" s="8" t="s">
        <v>13</v>
      </c>
      <c r="G21" s="8">
        <v>35</v>
      </c>
      <c r="H21" s="8" t="s">
        <v>83</v>
      </c>
      <c r="I21" s="8"/>
      <c r="J21" s="8">
        <v>1</v>
      </c>
      <c r="K21" s="8">
        <v>850.00000000000011</v>
      </c>
      <c r="L21" s="8">
        <v>0.81299999999999994</v>
      </c>
      <c r="M21" s="8">
        <v>0.53399999999999992</v>
      </c>
      <c r="N21" s="8">
        <v>21.359999999999996</v>
      </c>
    </row>
    <row r="22" spans="1:19" x14ac:dyDescent="0.2">
      <c r="A22" s="8" t="s">
        <v>272</v>
      </c>
      <c r="B22" s="8">
        <v>1.4</v>
      </c>
      <c r="C22" s="8" t="s">
        <v>273</v>
      </c>
      <c r="D22" s="8"/>
      <c r="E22" s="8" t="s">
        <v>12</v>
      </c>
      <c r="F22" s="8" t="s">
        <v>13</v>
      </c>
      <c r="G22" s="8">
        <v>13</v>
      </c>
      <c r="H22" s="8" t="s">
        <v>223</v>
      </c>
      <c r="I22" s="8"/>
      <c r="J22" s="8">
        <v>1</v>
      </c>
      <c r="K22" s="8">
        <v>600.00000000000011</v>
      </c>
      <c r="L22" s="8">
        <v>1.1000000000000001</v>
      </c>
      <c r="M22" s="8">
        <v>0.82100000000000006</v>
      </c>
      <c r="N22" s="8">
        <v>32.840000000000003</v>
      </c>
      <c r="R22" s="19" t="s">
        <v>519</v>
      </c>
      <c r="S22" s="19">
        <f>AVERAGE(M16:M152)</f>
        <v>0.43935227272727256</v>
      </c>
    </row>
    <row r="23" spans="1:19" x14ac:dyDescent="0.2">
      <c r="A23" s="8" t="s">
        <v>344</v>
      </c>
      <c r="B23" s="8">
        <v>1.25</v>
      </c>
      <c r="C23" s="8" t="s">
        <v>345</v>
      </c>
      <c r="D23" s="8"/>
      <c r="E23" s="8" t="s">
        <v>87</v>
      </c>
      <c r="F23" s="8" t="s">
        <v>13</v>
      </c>
      <c r="G23" s="8">
        <v>35</v>
      </c>
      <c r="H23" s="8" t="s">
        <v>223</v>
      </c>
      <c r="I23" s="8"/>
      <c r="J23" s="8">
        <v>1</v>
      </c>
      <c r="K23" s="8">
        <v>750</v>
      </c>
      <c r="L23" s="8">
        <v>1.28</v>
      </c>
      <c r="M23" s="8">
        <v>1.0009999999999999</v>
      </c>
      <c r="N23" s="8">
        <v>40.039999999999992</v>
      </c>
    </row>
    <row r="24" spans="1:19" x14ac:dyDescent="0.2">
      <c r="A24" s="8" t="s">
        <v>356</v>
      </c>
      <c r="B24" s="8">
        <v>1.3</v>
      </c>
      <c r="C24" s="8" t="s">
        <v>357</v>
      </c>
      <c r="D24" s="8"/>
      <c r="E24" s="8" t="s">
        <v>87</v>
      </c>
      <c r="F24" s="8" t="s">
        <v>13</v>
      </c>
      <c r="G24" s="8">
        <v>43</v>
      </c>
      <c r="H24" s="8" t="s">
        <v>223</v>
      </c>
      <c r="I24" s="8"/>
      <c r="J24" s="8">
        <v>1</v>
      </c>
      <c r="K24" s="8">
        <v>700</v>
      </c>
      <c r="L24" s="8">
        <v>1.61</v>
      </c>
      <c r="M24" s="8">
        <v>1.331</v>
      </c>
      <c r="N24" s="8">
        <v>53.239999999999995</v>
      </c>
    </row>
    <row r="25" spans="1:19" x14ac:dyDescent="0.2">
      <c r="A25" s="8" t="s">
        <v>67</v>
      </c>
      <c r="B25" s="8">
        <v>1.25</v>
      </c>
      <c r="C25" s="8" t="s">
        <v>68</v>
      </c>
      <c r="D25" s="8"/>
      <c r="E25" s="8" t="s">
        <v>12</v>
      </c>
      <c r="F25" s="8" t="s">
        <v>13</v>
      </c>
      <c r="G25" s="8"/>
      <c r="H25" s="8" t="s">
        <v>14</v>
      </c>
      <c r="I25" s="8" t="s">
        <v>15</v>
      </c>
      <c r="J25" s="8">
        <v>2</v>
      </c>
      <c r="K25" s="8">
        <v>750</v>
      </c>
      <c r="L25" s="8">
        <v>0</v>
      </c>
      <c r="M25" s="8">
        <v>0</v>
      </c>
      <c r="N25" s="8">
        <v>0</v>
      </c>
    </row>
    <row r="26" spans="1:19" x14ac:dyDescent="0.2">
      <c r="A26" s="8" t="s">
        <v>184</v>
      </c>
      <c r="B26" s="8">
        <v>1</v>
      </c>
      <c r="C26" s="8" t="s">
        <v>185</v>
      </c>
      <c r="D26" s="8" t="s">
        <v>186</v>
      </c>
      <c r="E26" s="8" t="s">
        <v>12</v>
      </c>
      <c r="F26" s="8" t="s">
        <v>13</v>
      </c>
      <c r="G26" s="8"/>
      <c r="H26" s="8" t="s">
        <v>14</v>
      </c>
      <c r="I26" s="8"/>
      <c r="J26" s="8">
        <v>2</v>
      </c>
      <c r="K26" s="8">
        <v>1000</v>
      </c>
      <c r="L26" s="8">
        <v>0.218</v>
      </c>
      <c r="M26" s="8">
        <v>4.5000000000000012E-2</v>
      </c>
      <c r="N26" s="8">
        <v>1.8000000000000005</v>
      </c>
    </row>
    <row r="27" spans="1:19" x14ac:dyDescent="0.2">
      <c r="A27" s="8" t="s">
        <v>236</v>
      </c>
      <c r="B27" s="8">
        <v>1.1000000000000001</v>
      </c>
      <c r="C27" s="8" t="s">
        <v>237</v>
      </c>
      <c r="D27" s="8" t="s">
        <v>238</v>
      </c>
      <c r="E27" s="8" t="s">
        <v>12</v>
      </c>
      <c r="F27" s="8" t="s">
        <v>13</v>
      </c>
      <c r="G27" s="8">
        <v>8</v>
      </c>
      <c r="H27" s="8" t="s">
        <v>223</v>
      </c>
      <c r="I27" s="8"/>
      <c r="J27" s="8">
        <v>2</v>
      </c>
      <c r="K27" s="8">
        <v>899.99999999999989</v>
      </c>
      <c r="L27" s="8">
        <v>0.35</v>
      </c>
      <c r="M27" s="8">
        <v>0.17699999999999999</v>
      </c>
      <c r="N27" s="8">
        <v>7.08</v>
      </c>
    </row>
    <row r="28" spans="1:19" x14ac:dyDescent="0.2">
      <c r="A28" s="8" t="s">
        <v>302</v>
      </c>
      <c r="B28" s="8">
        <v>1</v>
      </c>
      <c r="C28" s="8" t="s">
        <v>303</v>
      </c>
      <c r="D28" s="8" t="s">
        <v>304</v>
      </c>
      <c r="E28" s="8" t="s">
        <v>87</v>
      </c>
      <c r="F28" s="8" t="s">
        <v>13</v>
      </c>
      <c r="G28" s="8">
        <v>19</v>
      </c>
      <c r="H28" s="8" t="s">
        <v>223</v>
      </c>
      <c r="I28" s="8"/>
      <c r="J28" s="8">
        <v>2</v>
      </c>
      <c r="K28" s="8">
        <v>1000</v>
      </c>
      <c r="L28" s="8">
        <v>0.375</v>
      </c>
      <c r="M28" s="8">
        <v>0.20200000000000001</v>
      </c>
      <c r="N28" s="8">
        <v>8.08</v>
      </c>
    </row>
    <row r="29" spans="1:19" x14ac:dyDescent="0.2">
      <c r="A29" s="8" t="s">
        <v>139</v>
      </c>
      <c r="B29" s="8">
        <v>1.35</v>
      </c>
      <c r="C29" s="8" t="s">
        <v>140</v>
      </c>
      <c r="D29" s="8" t="s">
        <v>141</v>
      </c>
      <c r="E29" s="8" t="s">
        <v>12</v>
      </c>
      <c r="F29" s="8" t="s">
        <v>13</v>
      </c>
      <c r="G29" s="8">
        <v>45</v>
      </c>
      <c r="H29" s="8" t="s">
        <v>83</v>
      </c>
      <c r="I29" s="8"/>
      <c r="J29" s="8">
        <v>2</v>
      </c>
      <c r="K29" s="8">
        <v>649.99999999999989</v>
      </c>
      <c r="L29" s="8">
        <v>0.379</v>
      </c>
      <c r="M29" s="8">
        <v>0.20600000000000002</v>
      </c>
      <c r="N29" s="8">
        <v>8.24</v>
      </c>
    </row>
    <row r="30" spans="1:19" x14ac:dyDescent="0.2">
      <c r="A30" s="8" t="s">
        <v>227</v>
      </c>
      <c r="B30" s="8">
        <v>1</v>
      </c>
      <c r="C30" s="8" t="s">
        <v>228</v>
      </c>
      <c r="D30" s="8" t="s">
        <v>229</v>
      </c>
      <c r="E30" s="8" t="s">
        <v>12</v>
      </c>
      <c r="F30" s="8" t="s">
        <v>13</v>
      </c>
      <c r="G30" s="8">
        <v>7</v>
      </c>
      <c r="H30" s="8" t="s">
        <v>223</v>
      </c>
      <c r="I30" s="8"/>
      <c r="J30" s="8">
        <v>2</v>
      </c>
      <c r="K30" s="8">
        <v>1000</v>
      </c>
      <c r="L30" s="8">
        <v>0.39</v>
      </c>
      <c r="M30" s="8">
        <v>0.21700000000000003</v>
      </c>
      <c r="N30" s="8">
        <v>8.6800000000000015</v>
      </c>
    </row>
    <row r="31" spans="1:19" x14ac:dyDescent="0.2">
      <c r="A31" s="8" t="s">
        <v>386</v>
      </c>
      <c r="B31" s="8">
        <v>1</v>
      </c>
      <c r="C31" s="8" t="s">
        <v>387</v>
      </c>
      <c r="D31" s="8" t="s">
        <v>388</v>
      </c>
      <c r="E31" s="8" t="s">
        <v>12</v>
      </c>
      <c r="F31" s="8" t="s">
        <v>13</v>
      </c>
      <c r="G31" s="8">
        <v>7</v>
      </c>
      <c r="H31" s="8" t="s">
        <v>83</v>
      </c>
      <c r="I31" s="8"/>
      <c r="J31" s="8">
        <v>2</v>
      </c>
      <c r="K31" s="8">
        <v>1000</v>
      </c>
      <c r="L31" s="8">
        <v>0.39500000000000002</v>
      </c>
      <c r="M31" s="8">
        <v>0.22200000000000003</v>
      </c>
      <c r="N31" s="8">
        <v>8.8800000000000008</v>
      </c>
    </row>
    <row r="32" spans="1:19" x14ac:dyDescent="0.2">
      <c r="A32" s="8" t="s">
        <v>57</v>
      </c>
      <c r="B32" s="8">
        <v>1.1000000000000001</v>
      </c>
      <c r="C32" s="8" t="s">
        <v>58</v>
      </c>
      <c r="D32" s="8"/>
      <c r="E32" s="8" t="s">
        <v>12</v>
      </c>
      <c r="F32" s="8" t="s">
        <v>13</v>
      </c>
      <c r="G32" s="8"/>
      <c r="H32" s="8" t="s">
        <v>14</v>
      </c>
      <c r="I32" s="8" t="s">
        <v>15</v>
      </c>
      <c r="J32" s="8">
        <v>2</v>
      </c>
      <c r="K32" s="8">
        <v>899.99999999999989</v>
      </c>
      <c r="L32" s="8">
        <v>0.39700000000000002</v>
      </c>
      <c r="M32" s="8">
        <v>0.22400000000000003</v>
      </c>
      <c r="N32" s="8">
        <v>8.9600000000000009</v>
      </c>
    </row>
    <row r="33" spans="1:14" x14ac:dyDescent="0.2">
      <c r="A33" s="8" t="s">
        <v>374</v>
      </c>
      <c r="B33" s="8">
        <v>1.3</v>
      </c>
      <c r="C33" s="8" t="s">
        <v>375</v>
      </c>
      <c r="D33" s="8" t="s">
        <v>376</v>
      </c>
      <c r="E33" s="8" t="s">
        <v>12</v>
      </c>
      <c r="F33" s="8" t="s">
        <v>13</v>
      </c>
      <c r="G33" s="8">
        <v>8</v>
      </c>
      <c r="H33" s="8" t="s">
        <v>83</v>
      </c>
      <c r="I33" s="8"/>
      <c r="J33" s="8">
        <v>2</v>
      </c>
      <c r="K33" s="8">
        <v>700</v>
      </c>
      <c r="L33" s="8">
        <v>0.4</v>
      </c>
      <c r="M33" s="8">
        <v>0.22700000000000004</v>
      </c>
      <c r="N33" s="8">
        <v>9.0800000000000018</v>
      </c>
    </row>
    <row r="34" spans="1:14" x14ac:dyDescent="0.2">
      <c r="A34" s="8" t="s">
        <v>39</v>
      </c>
      <c r="B34" s="8">
        <v>1.25</v>
      </c>
      <c r="C34" s="8" t="s">
        <v>40</v>
      </c>
      <c r="D34" s="8"/>
      <c r="E34" s="8" t="s">
        <v>12</v>
      </c>
      <c r="F34" s="8" t="s">
        <v>13</v>
      </c>
      <c r="G34" s="8"/>
      <c r="H34" s="8" t="s">
        <v>14</v>
      </c>
      <c r="I34" s="8" t="s">
        <v>15</v>
      </c>
      <c r="J34" s="8">
        <v>2</v>
      </c>
      <c r="K34" s="8">
        <v>750</v>
      </c>
      <c r="L34" s="8">
        <v>0.44500000000000001</v>
      </c>
      <c r="M34" s="8">
        <v>0.27200000000000002</v>
      </c>
      <c r="N34" s="8">
        <v>10.88</v>
      </c>
    </row>
    <row r="35" spans="1:14" x14ac:dyDescent="0.2">
      <c r="A35" s="8" t="s">
        <v>51</v>
      </c>
      <c r="B35" s="8">
        <v>1.25</v>
      </c>
      <c r="C35" s="8" t="s">
        <v>52</v>
      </c>
      <c r="D35" s="8"/>
      <c r="E35" s="8" t="s">
        <v>12</v>
      </c>
      <c r="F35" s="8" t="s">
        <v>13</v>
      </c>
      <c r="G35" s="8"/>
      <c r="H35" s="8" t="s">
        <v>14</v>
      </c>
      <c r="I35" s="8" t="s">
        <v>15</v>
      </c>
      <c r="J35" s="8">
        <v>2</v>
      </c>
      <c r="K35" s="8">
        <v>750</v>
      </c>
      <c r="L35" s="8">
        <v>0.45600000000000002</v>
      </c>
      <c r="M35" s="8">
        <v>0.28300000000000003</v>
      </c>
      <c r="N35" s="8">
        <v>11.32</v>
      </c>
    </row>
    <row r="36" spans="1:14" x14ac:dyDescent="0.2">
      <c r="A36" s="8" t="s">
        <v>103</v>
      </c>
      <c r="B36" s="8">
        <v>1.35</v>
      </c>
      <c r="C36" s="8" t="s">
        <v>104</v>
      </c>
      <c r="D36" s="8" t="s">
        <v>105</v>
      </c>
      <c r="E36" s="8" t="s">
        <v>87</v>
      </c>
      <c r="F36" s="8" t="s">
        <v>13</v>
      </c>
      <c r="G36" s="8">
        <v>19</v>
      </c>
      <c r="H36" s="8" t="s">
        <v>83</v>
      </c>
      <c r="I36" s="8"/>
      <c r="J36" s="8">
        <v>2</v>
      </c>
      <c r="K36" s="8">
        <v>649.99999999999989</v>
      </c>
      <c r="L36" s="8">
        <v>0.46200000000000002</v>
      </c>
      <c r="M36" s="8">
        <v>0.28900000000000003</v>
      </c>
      <c r="N36" s="8">
        <v>11.560000000000002</v>
      </c>
    </row>
    <row r="37" spans="1:14" x14ac:dyDescent="0.2">
      <c r="A37" s="8" t="s">
        <v>151</v>
      </c>
      <c r="B37" s="8">
        <v>1.35</v>
      </c>
      <c r="C37" s="8" t="s">
        <v>152</v>
      </c>
      <c r="D37" s="8" t="s">
        <v>153</v>
      </c>
      <c r="E37" s="8" t="s">
        <v>87</v>
      </c>
      <c r="F37" s="8" t="s">
        <v>13</v>
      </c>
      <c r="G37" s="8">
        <v>24</v>
      </c>
      <c r="H37" s="8" t="s">
        <v>83</v>
      </c>
      <c r="I37" s="8"/>
      <c r="J37" s="8">
        <v>2</v>
      </c>
      <c r="K37" s="8">
        <v>649.99999999999989</v>
      </c>
      <c r="L37" s="8">
        <v>0.48099999999999998</v>
      </c>
      <c r="M37" s="8">
        <v>0.308</v>
      </c>
      <c r="N37" s="8">
        <v>12.32</v>
      </c>
    </row>
    <row r="38" spans="1:14" x14ac:dyDescent="0.2">
      <c r="A38" s="8" t="s">
        <v>115</v>
      </c>
      <c r="B38" s="8">
        <v>1.1499999999999999</v>
      </c>
      <c r="C38" s="8" t="s">
        <v>116</v>
      </c>
      <c r="D38" s="8" t="s">
        <v>117</v>
      </c>
      <c r="E38" s="8" t="s">
        <v>12</v>
      </c>
      <c r="F38" s="8" t="s">
        <v>13</v>
      </c>
      <c r="G38" s="8">
        <v>28</v>
      </c>
      <c r="H38" s="8" t="s">
        <v>83</v>
      </c>
      <c r="I38" s="8"/>
      <c r="J38" s="8">
        <v>2</v>
      </c>
      <c r="K38" s="8">
        <v>850.00000000000011</v>
      </c>
      <c r="L38" s="8">
        <v>0.48699999999999999</v>
      </c>
      <c r="M38" s="8">
        <v>0.314</v>
      </c>
      <c r="N38" s="8">
        <v>12.56</v>
      </c>
    </row>
    <row r="39" spans="1:14" x14ac:dyDescent="0.2">
      <c r="A39" s="8" t="s">
        <v>239</v>
      </c>
      <c r="B39" s="8">
        <v>1.3</v>
      </c>
      <c r="C39" s="8" t="s">
        <v>240</v>
      </c>
      <c r="D39" s="8" t="s">
        <v>241</v>
      </c>
      <c r="E39" s="8" t="s">
        <v>12</v>
      </c>
      <c r="F39" s="8" t="s">
        <v>13</v>
      </c>
      <c r="G39" s="8">
        <v>45</v>
      </c>
      <c r="H39" s="8" t="s">
        <v>223</v>
      </c>
      <c r="I39" s="8"/>
      <c r="J39" s="8">
        <v>2</v>
      </c>
      <c r="K39" s="8">
        <v>700</v>
      </c>
      <c r="L39" s="8">
        <v>0.51500000000000001</v>
      </c>
      <c r="M39" s="8">
        <v>0.34200000000000003</v>
      </c>
      <c r="N39" s="8">
        <v>13.680000000000001</v>
      </c>
    </row>
    <row r="40" spans="1:14" x14ac:dyDescent="0.2">
      <c r="A40" s="8" t="s">
        <v>65</v>
      </c>
      <c r="B40" s="8">
        <v>1.2</v>
      </c>
      <c r="C40" s="8" t="s">
        <v>66</v>
      </c>
      <c r="D40" s="8"/>
      <c r="E40" s="8" t="s">
        <v>12</v>
      </c>
      <c r="F40" s="8" t="s">
        <v>13</v>
      </c>
      <c r="G40" s="8"/>
      <c r="H40" s="8" t="s">
        <v>14</v>
      </c>
      <c r="I40" s="8" t="s">
        <v>15</v>
      </c>
      <c r="J40" s="8">
        <v>2</v>
      </c>
      <c r="K40" s="8">
        <v>800</v>
      </c>
      <c r="L40" s="8">
        <v>0.52800000000000002</v>
      </c>
      <c r="M40" s="8">
        <v>0.35500000000000004</v>
      </c>
      <c r="N40" s="8">
        <v>14.200000000000001</v>
      </c>
    </row>
    <row r="41" spans="1:14" x14ac:dyDescent="0.2">
      <c r="A41" s="8" t="s">
        <v>181</v>
      </c>
      <c r="B41" s="8">
        <v>1</v>
      </c>
      <c r="C41" s="8" t="s">
        <v>182</v>
      </c>
      <c r="D41" s="8" t="s">
        <v>183</v>
      </c>
      <c r="E41" s="8" t="s">
        <v>12</v>
      </c>
      <c r="F41" s="8" t="s">
        <v>13</v>
      </c>
      <c r="G41" s="8"/>
      <c r="H41" s="8" t="s">
        <v>14</v>
      </c>
      <c r="I41" s="8"/>
      <c r="J41" s="8">
        <v>2</v>
      </c>
      <c r="K41" s="8">
        <v>1000</v>
      </c>
      <c r="L41" s="8">
        <v>0.53400000000000003</v>
      </c>
      <c r="M41" s="8">
        <v>0.36100000000000004</v>
      </c>
      <c r="N41" s="8">
        <v>14.440000000000001</v>
      </c>
    </row>
    <row r="42" spans="1:14" x14ac:dyDescent="0.2">
      <c r="A42" s="8" t="s">
        <v>61</v>
      </c>
      <c r="B42" s="8">
        <v>1.25</v>
      </c>
      <c r="C42" s="8" t="s">
        <v>62</v>
      </c>
      <c r="D42" s="8"/>
      <c r="E42" s="8" t="s">
        <v>12</v>
      </c>
      <c r="F42" s="8" t="s">
        <v>13</v>
      </c>
      <c r="G42" s="8">
        <v>14</v>
      </c>
      <c r="H42" s="8" t="s">
        <v>22</v>
      </c>
      <c r="I42" s="8" t="s">
        <v>15</v>
      </c>
      <c r="J42" s="8">
        <v>2</v>
      </c>
      <c r="K42" s="8">
        <v>750</v>
      </c>
      <c r="L42" s="8">
        <v>0.68700000000000006</v>
      </c>
      <c r="M42" s="8">
        <v>0.51400000000000001</v>
      </c>
      <c r="N42" s="8">
        <v>20.560000000000002</v>
      </c>
    </row>
    <row r="43" spans="1:14" x14ac:dyDescent="0.2">
      <c r="A43" s="8" t="s">
        <v>281</v>
      </c>
      <c r="B43" s="8">
        <v>1.4</v>
      </c>
      <c r="C43" s="8" t="s">
        <v>282</v>
      </c>
      <c r="D43" s="8" t="s">
        <v>283</v>
      </c>
      <c r="E43" s="8" t="s">
        <v>12</v>
      </c>
      <c r="F43" s="8" t="s">
        <v>13</v>
      </c>
      <c r="G43" s="8">
        <v>14</v>
      </c>
      <c r="H43" s="8" t="s">
        <v>223</v>
      </c>
      <c r="I43" s="8"/>
      <c r="J43" s="8">
        <v>2</v>
      </c>
      <c r="K43" s="8">
        <v>600.00000000000011</v>
      </c>
      <c r="L43" s="8">
        <v>0.72699999999999998</v>
      </c>
      <c r="M43" s="8">
        <v>0.55400000000000005</v>
      </c>
      <c r="N43" s="8">
        <v>22.160000000000004</v>
      </c>
    </row>
    <row r="44" spans="1:14" x14ac:dyDescent="0.2">
      <c r="A44" s="8" t="s">
        <v>341</v>
      </c>
      <c r="B44" s="8">
        <v>1</v>
      </c>
      <c r="C44" s="8" t="s">
        <v>342</v>
      </c>
      <c r="D44" s="8" t="s">
        <v>343</v>
      </c>
      <c r="E44" s="8" t="s">
        <v>87</v>
      </c>
      <c r="F44" s="8" t="s">
        <v>13</v>
      </c>
      <c r="G44" s="8">
        <v>24</v>
      </c>
      <c r="H44" s="8" t="s">
        <v>223</v>
      </c>
      <c r="I44" s="8"/>
      <c r="J44" s="8">
        <v>2</v>
      </c>
      <c r="K44" s="8">
        <v>1000</v>
      </c>
      <c r="L44" s="8">
        <v>0.76</v>
      </c>
      <c r="M44" s="8">
        <v>0.58699999999999997</v>
      </c>
      <c r="N44" s="8">
        <v>23.479999999999997</v>
      </c>
    </row>
    <row r="45" spans="1:14" x14ac:dyDescent="0.2">
      <c r="A45" s="8" t="s">
        <v>230</v>
      </c>
      <c r="B45" s="8">
        <v>1.25</v>
      </c>
      <c r="C45" s="8" t="s">
        <v>231</v>
      </c>
      <c r="D45" s="8" t="s">
        <v>232</v>
      </c>
      <c r="E45" s="8" t="s">
        <v>12</v>
      </c>
      <c r="F45" s="8" t="s">
        <v>13</v>
      </c>
      <c r="G45" s="8">
        <v>28</v>
      </c>
      <c r="H45" s="8" t="s">
        <v>223</v>
      </c>
      <c r="I45" s="8"/>
      <c r="J45" s="8">
        <v>2</v>
      </c>
      <c r="K45" s="8">
        <v>750</v>
      </c>
      <c r="L45" s="8">
        <v>0.84699999999999998</v>
      </c>
      <c r="M45" s="8">
        <v>0.67399999999999993</v>
      </c>
      <c r="N45" s="8">
        <v>26.959999999999997</v>
      </c>
    </row>
    <row r="46" spans="1:14" x14ac:dyDescent="0.2">
      <c r="A46" s="8" t="s">
        <v>263</v>
      </c>
      <c r="B46" s="8">
        <v>1.1000000000000001</v>
      </c>
      <c r="C46" s="8" t="s">
        <v>264</v>
      </c>
      <c r="D46" s="8" t="s">
        <v>265</v>
      </c>
      <c r="E46" s="8" t="s">
        <v>12</v>
      </c>
      <c r="F46" s="8" t="s">
        <v>13</v>
      </c>
      <c r="G46" s="8">
        <v>46</v>
      </c>
      <c r="H46" s="8" t="s">
        <v>223</v>
      </c>
      <c r="I46" s="8"/>
      <c r="J46" s="8">
        <v>2</v>
      </c>
      <c r="K46" s="8">
        <v>899.99999999999989</v>
      </c>
      <c r="L46" s="8">
        <v>1.07</v>
      </c>
      <c r="M46" s="8">
        <v>0.89700000000000002</v>
      </c>
      <c r="N46" s="8">
        <v>35.880000000000003</v>
      </c>
    </row>
    <row r="47" spans="1:14" x14ac:dyDescent="0.2">
      <c r="A47" s="8" t="s">
        <v>80</v>
      </c>
      <c r="B47" s="8">
        <v>1.25</v>
      </c>
      <c r="C47" s="8" t="s">
        <v>81</v>
      </c>
      <c r="D47" s="8" t="s">
        <v>82</v>
      </c>
      <c r="E47" s="8" t="s">
        <v>12</v>
      </c>
      <c r="F47" s="8" t="s">
        <v>13</v>
      </c>
      <c r="G47" s="8">
        <v>46</v>
      </c>
      <c r="H47" s="8" t="s">
        <v>83</v>
      </c>
      <c r="I47" s="8"/>
      <c r="J47" s="8">
        <v>2</v>
      </c>
      <c r="K47" s="8">
        <v>750</v>
      </c>
      <c r="L47" s="8">
        <v>1.43</v>
      </c>
      <c r="M47" s="8">
        <v>1.2569999999999999</v>
      </c>
      <c r="N47" s="8">
        <v>50.279999999999994</v>
      </c>
    </row>
    <row r="48" spans="1:14" x14ac:dyDescent="0.2">
      <c r="A48" s="8" t="s">
        <v>205</v>
      </c>
      <c r="B48" s="8">
        <v>1</v>
      </c>
      <c r="C48" s="8" t="s">
        <v>206</v>
      </c>
      <c r="D48" s="8" t="s">
        <v>207</v>
      </c>
      <c r="E48" s="8" t="s">
        <v>12</v>
      </c>
      <c r="F48" s="8" t="s">
        <v>13</v>
      </c>
      <c r="G48" s="8"/>
      <c r="H48" s="8" t="s">
        <v>14</v>
      </c>
      <c r="I48" s="8"/>
      <c r="J48" s="8">
        <v>3</v>
      </c>
      <c r="K48" s="8">
        <v>1000</v>
      </c>
      <c r="L48" s="8">
        <v>0.123</v>
      </c>
      <c r="M48" s="8">
        <v>6.1699999999999998E-2</v>
      </c>
      <c r="N48" s="8">
        <v>2.468</v>
      </c>
    </row>
    <row r="49" spans="1:14" x14ac:dyDescent="0.2">
      <c r="A49" s="8" t="s">
        <v>257</v>
      </c>
      <c r="B49" s="8">
        <v>1</v>
      </c>
      <c r="C49" s="8" t="s">
        <v>258</v>
      </c>
      <c r="D49" s="8" t="s">
        <v>259</v>
      </c>
      <c r="E49" s="8" t="s">
        <v>12</v>
      </c>
      <c r="F49" s="8" t="s">
        <v>13</v>
      </c>
      <c r="G49" s="8">
        <v>48</v>
      </c>
      <c r="H49" s="8" t="s">
        <v>223</v>
      </c>
      <c r="I49" s="8"/>
      <c r="J49" s="8">
        <v>3</v>
      </c>
      <c r="K49" s="8">
        <v>1000</v>
      </c>
      <c r="L49" s="8">
        <v>0.158</v>
      </c>
      <c r="M49" s="8">
        <v>9.6700000000000008E-2</v>
      </c>
      <c r="N49" s="8">
        <v>3.8680000000000003</v>
      </c>
    </row>
    <row r="50" spans="1:14" x14ac:dyDescent="0.2">
      <c r="A50" s="8" t="s">
        <v>371</v>
      </c>
      <c r="B50" s="8">
        <v>1.3</v>
      </c>
      <c r="C50" s="8" t="s">
        <v>372</v>
      </c>
      <c r="D50" s="8" t="s">
        <v>373</v>
      </c>
      <c r="E50" s="8" t="s">
        <v>12</v>
      </c>
      <c r="F50" s="8" t="s">
        <v>13</v>
      </c>
      <c r="G50" s="8">
        <v>48</v>
      </c>
      <c r="H50" s="8" t="s">
        <v>83</v>
      </c>
      <c r="I50" s="8"/>
      <c r="J50" s="8">
        <v>3</v>
      </c>
      <c r="K50" s="8">
        <v>700</v>
      </c>
      <c r="L50" s="8">
        <v>0.16300000000000001</v>
      </c>
      <c r="M50" s="8">
        <v>0.10170000000000001</v>
      </c>
      <c r="N50" s="8">
        <v>4.0680000000000005</v>
      </c>
    </row>
    <row r="51" spans="1:14" x14ac:dyDescent="0.2">
      <c r="A51" s="8" t="s">
        <v>248</v>
      </c>
      <c r="B51" s="8">
        <v>1</v>
      </c>
      <c r="C51" s="8" t="s">
        <v>249</v>
      </c>
      <c r="D51" s="8" t="s">
        <v>250</v>
      </c>
      <c r="E51" s="8" t="s">
        <v>12</v>
      </c>
      <c r="F51" s="8" t="s">
        <v>13</v>
      </c>
      <c r="G51" s="8">
        <v>9</v>
      </c>
      <c r="H51" s="8" t="s">
        <v>223</v>
      </c>
      <c r="I51" s="8"/>
      <c r="J51" s="8">
        <v>3</v>
      </c>
      <c r="K51" s="8">
        <v>1000</v>
      </c>
      <c r="L51" s="8">
        <v>0.21099999999999999</v>
      </c>
      <c r="M51" s="8">
        <v>0.1497</v>
      </c>
      <c r="N51" s="8">
        <v>5.9879999999999995</v>
      </c>
    </row>
    <row r="52" spans="1:14" x14ac:dyDescent="0.2">
      <c r="A52" s="8" t="s">
        <v>121</v>
      </c>
      <c r="B52" s="8">
        <v>1.25</v>
      </c>
      <c r="C52" s="8" t="s">
        <v>122</v>
      </c>
      <c r="D52" s="8" t="s">
        <v>123</v>
      </c>
      <c r="E52" s="8" t="s">
        <v>87</v>
      </c>
      <c r="F52" s="8" t="s">
        <v>13</v>
      </c>
      <c r="G52" s="8">
        <v>27</v>
      </c>
      <c r="H52" s="8" t="s">
        <v>83</v>
      </c>
      <c r="I52" s="8"/>
      <c r="J52" s="8">
        <v>3</v>
      </c>
      <c r="K52" s="8">
        <v>750</v>
      </c>
      <c r="L52" s="8">
        <v>0.22800000000000001</v>
      </c>
      <c r="M52" s="8">
        <v>0.16670000000000001</v>
      </c>
      <c r="N52" s="8">
        <v>6.668000000000001</v>
      </c>
    </row>
    <row r="53" spans="1:14" x14ac:dyDescent="0.2">
      <c r="A53" s="8" t="s">
        <v>178</v>
      </c>
      <c r="B53" s="8">
        <v>1</v>
      </c>
      <c r="C53" s="8" t="s">
        <v>179</v>
      </c>
      <c r="D53" s="8" t="s">
        <v>180</v>
      </c>
      <c r="E53" s="8" t="s">
        <v>12</v>
      </c>
      <c r="F53" s="8" t="s">
        <v>13</v>
      </c>
      <c r="G53" s="8"/>
      <c r="H53" s="8" t="s">
        <v>14</v>
      </c>
      <c r="I53" s="8"/>
      <c r="J53" s="8">
        <v>3</v>
      </c>
      <c r="K53" s="8">
        <v>1000</v>
      </c>
      <c r="L53" s="8">
        <v>0.24</v>
      </c>
      <c r="M53" s="8">
        <v>0.1787</v>
      </c>
      <c r="N53" s="8">
        <v>7.1479999999999997</v>
      </c>
    </row>
    <row r="54" spans="1:14" x14ac:dyDescent="0.2">
      <c r="A54" s="8" t="s">
        <v>383</v>
      </c>
      <c r="B54" s="8">
        <v>1.3</v>
      </c>
      <c r="C54" s="8" t="s">
        <v>384</v>
      </c>
      <c r="D54" s="8" t="s">
        <v>385</v>
      </c>
      <c r="E54" s="8" t="s">
        <v>12</v>
      </c>
      <c r="F54" s="8" t="s">
        <v>13</v>
      </c>
      <c r="G54" s="8">
        <v>47</v>
      </c>
      <c r="H54" s="8" t="s">
        <v>83</v>
      </c>
      <c r="I54" s="8"/>
      <c r="J54" s="8">
        <v>3</v>
      </c>
      <c r="K54" s="8">
        <v>700</v>
      </c>
      <c r="L54" s="8">
        <v>0.24299999999999999</v>
      </c>
      <c r="M54" s="8">
        <v>0.1817</v>
      </c>
      <c r="N54" s="8">
        <v>7.2679999999999998</v>
      </c>
    </row>
    <row r="55" spans="1:14" x14ac:dyDescent="0.2">
      <c r="A55" s="8" t="s">
        <v>142</v>
      </c>
      <c r="B55" s="8">
        <v>1.25</v>
      </c>
      <c r="C55" s="8" t="s">
        <v>143</v>
      </c>
      <c r="D55" s="8" t="s">
        <v>144</v>
      </c>
      <c r="E55" s="8" t="s">
        <v>87</v>
      </c>
      <c r="F55" s="8" t="s">
        <v>13</v>
      </c>
      <c r="G55" s="8">
        <v>32</v>
      </c>
      <c r="H55" s="8" t="s">
        <v>83</v>
      </c>
      <c r="I55" s="8"/>
      <c r="J55" s="8">
        <v>3</v>
      </c>
      <c r="K55" s="8">
        <v>750</v>
      </c>
      <c r="L55" s="8">
        <v>0.29399999999999998</v>
      </c>
      <c r="M55" s="8">
        <v>0.23269999999999999</v>
      </c>
      <c r="N55" s="8">
        <v>9.3079999999999998</v>
      </c>
    </row>
    <row r="56" spans="1:14" x14ac:dyDescent="0.2">
      <c r="A56" s="8" t="s">
        <v>69</v>
      </c>
      <c r="B56" s="8">
        <v>1.25</v>
      </c>
      <c r="C56" s="8" t="s">
        <v>70</v>
      </c>
      <c r="D56" s="8"/>
      <c r="E56" s="8" t="s">
        <v>12</v>
      </c>
      <c r="F56" s="8" t="s">
        <v>13</v>
      </c>
      <c r="G56" s="8"/>
      <c r="H56" s="8" t="s">
        <v>14</v>
      </c>
      <c r="I56" s="8" t="s">
        <v>15</v>
      </c>
      <c r="J56" s="8">
        <v>3</v>
      </c>
      <c r="K56" s="8">
        <v>750</v>
      </c>
      <c r="L56" s="8">
        <v>0.30299999999999999</v>
      </c>
      <c r="M56" s="8">
        <v>0.2417</v>
      </c>
      <c r="N56" s="8">
        <v>9.6679999999999993</v>
      </c>
    </row>
    <row r="57" spans="1:14" x14ac:dyDescent="0.2">
      <c r="A57" s="8" t="s">
        <v>45</v>
      </c>
      <c r="B57" s="8">
        <v>1.25</v>
      </c>
      <c r="C57" s="8" t="s">
        <v>46</v>
      </c>
      <c r="D57" s="8"/>
      <c r="E57" s="8" t="s">
        <v>12</v>
      </c>
      <c r="F57" s="8" t="s">
        <v>13</v>
      </c>
      <c r="G57" s="8">
        <v>9</v>
      </c>
      <c r="H57" s="8" t="s">
        <v>22</v>
      </c>
      <c r="I57" s="8" t="s">
        <v>15</v>
      </c>
      <c r="J57" s="8">
        <v>3</v>
      </c>
      <c r="K57" s="8">
        <v>750</v>
      </c>
      <c r="L57" s="8">
        <v>0.31</v>
      </c>
      <c r="M57" s="8">
        <v>0.2487</v>
      </c>
      <c r="N57" s="8">
        <v>9.9480000000000004</v>
      </c>
    </row>
    <row r="58" spans="1:14" x14ac:dyDescent="0.2">
      <c r="A58" s="8" t="s">
        <v>133</v>
      </c>
      <c r="B58" s="8">
        <v>1.25</v>
      </c>
      <c r="C58" s="8" t="s">
        <v>134</v>
      </c>
      <c r="D58" s="8" t="s">
        <v>135</v>
      </c>
      <c r="E58" s="8" t="s">
        <v>87</v>
      </c>
      <c r="F58" s="8" t="s">
        <v>13</v>
      </c>
      <c r="G58" s="8">
        <v>22</v>
      </c>
      <c r="H58" s="8" t="s">
        <v>83</v>
      </c>
      <c r="I58" s="8"/>
      <c r="J58" s="8">
        <v>3</v>
      </c>
      <c r="K58" s="8">
        <v>750</v>
      </c>
      <c r="L58" s="8">
        <v>0.312</v>
      </c>
      <c r="M58" s="8">
        <v>0.25069999999999998</v>
      </c>
      <c r="N58" s="8">
        <v>10.027999999999999</v>
      </c>
    </row>
    <row r="59" spans="1:14" x14ac:dyDescent="0.2">
      <c r="A59" s="8" t="s">
        <v>94</v>
      </c>
      <c r="B59" s="8">
        <v>1.1499999999999999</v>
      </c>
      <c r="C59" s="8" t="s">
        <v>95</v>
      </c>
      <c r="D59" s="8" t="s">
        <v>96</v>
      </c>
      <c r="E59" s="8" t="s">
        <v>87</v>
      </c>
      <c r="F59" s="8" t="s">
        <v>13</v>
      </c>
      <c r="G59" s="8">
        <v>20</v>
      </c>
      <c r="H59" s="8" t="s">
        <v>83</v>
      </c>
      <c r="I59" s="8"/>
      <c r="J59" s="8">
        <v>3</v>
      </c>
      <c r="K59" s="8">
        <v>850.00000000000011</v>
      </c>
      <c r="L59" s="8">
        <v>0.36499999999999999</v>
      </c>
      <c r="M59" s="8">
        <v>0.30369999999999997</v>
      </c>
      <c r="N59" s="8">
        <v>12.148</v>
      </c>
    </row>
    <row r="60" spans="1:14" x14ac:dyDescent="0.2">
      <c r="A60" s="8" t="s">
        <v>320</v>
      </c>
      <c r="B60" s="8">
        <v>1</v>
      </c>
      <c r="C60" s="8" t="s">
        <v>321</v>
      </c>
      <c r="D60" s="8" t="s">
        <v>322</v>
      </c>
      <c r="E60" s="8" t="s">
        <v>87</v>
      </c>
      <c r="F60" s="8" t="s">
        <v>13</v>
      </c>
      <c r="G60" s="8">
        <v>41</v>
      </c>
      <c r="H60" s="8" t="s">
        <v>223</v>
      </c>
      <c r="I60" s="8"/>
      <c r="J60" s="8">
        <v>3</v>
      </c>
      <c r="K60" s="8">
        <v>1000</v>
      </c>
      <c r="L60" s="8">
        <v>0.36799999999999999</v>
      </c>
      <c r="M60" s="8">
        <v>0.30669999999999997</v>
      </c>
      <c r="N60" s="8">
        <v>12.267999999999999</v>
      </c>
    </row>
    <row r="61" spans="1:14" x14ac:dyDescent="0.2">
      <c r="A61" s="8" t="s">
        <v>145</v>
      </c>
      <c r="B61" s="8">
        <v>1</v>
      </c>
      <c r="C61" s="8" t="s">
        <v>146</v>
      </c>
      <c r="D61" s="8" t="s">
        <v>147</v>
      </c>
      <c r="E61" s="8" t="s">
        <v>87</v>
      </c>
      <c r="F61" s="8" t="s">
        <v>13</v>
      </c>
      <c r="G61" s="8">
        <v>41</v>
      </c>
      <c r="H61" s="8" t="s">
        <v>83</v>
      </c>
      <c r="I61" s="8"/>
      <c r="J61" s="8">
        <v>3</v>
      </c>
      <c r="K61" s="8">
        <v>1000</v>
      </c>
      <c r="L61" s="8">
        <v>0.371</v>
      </c>
      <c r="M61" s="8">
        <v>0.30969999999999998</v>
      </c>
      <c r="N61" s="8">
        <v>12.387999999999998</v>
      </c>
    </row>
    <row r="62" spans="1:14" x14ac:dyDescent="0.2">
      <c r="A62" s="8" t="s">
        <v>260</v>
      </c>
      <c r="B62" s="8">
        <v>1.4</v>
      </c>
      <c r="C62" s="8" t="s">
        <v>261</v>
      </c>
      <c r="D62" s="8" t="s">
        <v>262</v>
      </c>
      <c r="E62" s="8" t="s">
        <v>12</v>
      </c>
      <c r="F62" s="8" t="s">
        <v>13</v>
      </c>
      <c r="G62" s="8">
        <v>47</v>
      </c>
      <c r="H62" s="8" t="s">
        <v>223</v>
      </c>
      <c r="I62" s="8"/>
      <c r="J62" s="8">
        <v>3</v>
      </c>
      <c r="K62" s="8">
        <v>600.00000000000011</v>
      </c>
      <c r="L62" s="8">
        <v>0.41799999999999998</v>
      </c>
      <c r="M62" s="8">
        <v>0.35669999999999996</v>
      </c>
      <c r="N62" s="8">
        <v>14.267999999999999</v>
      </c>
    </row>
    <row r="63" spans="1:14" x14ac:dyDescent="0.2">
      <c r="A63" s="8" t="s">
        <v>10</v>
      </c>
      <c r="B63" s="8">
        <v>1.25</v>
      </c>
      <c r="C63" s="8" t="s">
        <v>11</v>
      </c>
      <c r="D63" s="8"/>
      <c r="E63" s="8" t="s">
        <v>12</v>
      </c>
      <c r="F63" s="8" t="s">
        <v>13</v>
      </c>
      <c r="G63" s="8"/>
      <c r="H63" s="8" t="s">
        <v>14</v>
      </c>
      <c r="I63" s="8" t="s">
        <v>15</v>
      </c>
      <c r="J63" s="8">
        <v>3</v>
      </c>
      <c r="K63" s="8">
        <v>750</v>
      </c>
      <c r="L63" s="8">
        <v>0.50700000000000001</v>
      </c>
      <c r="M63" s="8">
        <v>0.44569999999999999</v>
      </c>
      <c r="N63" s="8">
        <v>17.827999999999999</v>
      </c>
    </row>
    <row r="64" spans="1:14" x14ac:dyDescent="0.2">
      <c r="A64" s="8" t="s">
        <v>33</v>
      </c>
      <c r="B64" s="8">
        <v>1.25</v>
      </c>
      <c r="C64" s="8" t="s">
        <v>34</v>
      </c>
      <c r="D64" s="8"/>
      <c r="E64" s="8" t="s">
        <v>12</v>
      </c>
      <c r="F64" s="8" t="s">
        <v>13</v>
      </c>
      <c r="G64" s="8"/>
      <c r="H64" s="8" t="s">
        <v>14</v>
      </c>
      <c r="I64" s="8" t="s">
        <v>15</v>
      </c>
      <c r="J64" s="8">
        <v>3</v>
      </c>
      <c r="K64" s="8">
        <v>750</v>
      </c>
      <c r="L64" s="8">
        <v>0.52200000000000002</v>
      </c>
      <c r="M64" s="8">
        <v>0.4607</v>
      </c>
      <c r="N64" s="8">
        <v>18.428000000000001</v>
      </c>
    </row>
    <row r="65" spans="1:14" x14ac:dyDescent="0.2">
      <c r="A65" s="8" t="s">
        <v>73</v>
      </c>
      <c r="B65" s="8">
        <v>1.25</v>
      </c>
      <c r="C65" s="8" t="s">
        <v>74</v>
      </c>
      <c r="D65" s="8"/>
      <c r="E65" s="8" t="s">
        <v>12</v>
      </c>
      <c r="F65" s="8" t="s">
        <v>13</v>
      </c>
      <c r="G65" s="8"/>
      <c r="H65" s="8" t="s">
        <v>14</v>
      </c>
      <c r="I65" s="8" t="s">
        <v>15</v>
      </c>
      <c r="J65" s="8">
        <v>3</v>
      </c>
      <c r="K65" s="8">
        <v>750</v>
      </c>
      <c r="L65" s="8">
        <v>0.52800000000000002</v>
      </c>
      <c r="M65" s="8">
        <v>0.4667</v>
      </c>
      <c r="N65" s="8">
        <v>18.667999999999999</v>
      </c>
    </row>
    <row r="66" spans="1:14" x14ac:dyDescent="0.2">
      <c r="A66" s="8" t="s">
        <v>317</v>
      </c>
      <c r="B66" s="8">
        <v>1.2</v>
      </c>
      <c r="C66" s="8" t="s">
        <v>318</v>
      </c>
      <c r="D66" s="8" t="s">
        <v>319</v>
      </c>
      <c r="E66" s="8" t="s">
        <v>87</v>
      </c>
      <c r="F66" s="8" t="s">
        <v>13</v>
      </c>
      <c r="G66" s="8">
        <v>27</v>
      </c>
      <c r="H66" s="8" t="s">
        <v>223</v>
      </c>
      <c r="I66" s="8"/>
      <c r="J66" s="8">
        <v>3</v>
      </c>
      <c r="K66" s="8">
        <v>800</v>
      </c>
      <c r="L66" s="8">
        <v>0.58499999999999996</v>
      </c>
      <c r="M66" s="8">
        <v>0.52369999999999994</v>
      </c>
      <c r="N66" s="8">
        <v>20.947999999999997</v>
      </c>
    </row>
    <row r="67" spans="1:14" x14ac:dyDescent="0.2">
      <c r="A67" s="8" t="s">
        <v>323</v>
      </c>
      <c r="B67" s="8">
        <v>1.25</v>
      </c>
      <c r="C67" s="8" t="s">
        <v>324</v>
      </c>
      <c r="D67" s="8" t="s">
        <v>325</v>
      </c>
      <c r="E67" s="8" t="s">
        <v>87</v>
      </c>
      <c r="F67" s="8" t="s">
        <v>13</v>
      </c>
      <c r="G67" s="8">
        <v>32</v>
      </c>
      <c r="H67" s="8" t="s">
        <v>223</v>
      </c>
      <c r="I67" s="8"/>
      <c r="J67" s="8">
        <v>3</v>
      </c>
      <c r="K67" s="8">
        <v>750</v>
      </c>
      <c r="L67" s="8">
        <v>0.71299999999999997</v>
      </c>
      <c r="M67" s="8">
        <v>0.65169999999999995</v>
      </c>
      <c r="N67" s="8">
        <v>26.067999999999998</v>
      </c>
    </row>
    <row r="68" spans="1:14" x14ac:dyDescent="0.2">
      <c r="A68" s="8" t="s">
        <v>293</v>
      </c>
      <c r="B68" s="8">
        <v>1.25</v>
      </c>
      <c r="C68" s="8" t="s">
        <v>294</v>
      </c>
      <c r="D68" s="8" t="s">
        <v>295</v>
      </c>
      <c r="E68" s="8" t="s">
        <v>87</v>
      </c>
      <c r="F68" s="8" t="s">
        <v>13</v>
      </c>
      <c r="G68" s="8">
        <v>20</v>
      </c>
      <c r="H68" s="8" t="s">
        <v>223</v>
      </c>
      <c r="I68" s="8"/>
      <c r="J68" s="8">
        <v>3</v>
      </c>
      <c r="K68" s="8">
        <v>750</v>
      </c>
      <c r="L68" s="8">
        <v>0.91300000000000003</v>
      </c>
      <c r="M68" s="8">
        <v>0.85170000000000001</v>
      </c>
      <c r="N68" s="8">
        <v>34.067999999999998</v>
      </c>
    </row>
    <row r="69" spans="1:14" x14ac:dyDescent="0.2">
      <c r="A69" s="8" t="s">
        <v>190</v>
      </c>
      <c r="B69" s="8">
        <v>1</v>
      </c>
      <c r="C69" s="8" t="s">
        <v>191</v>
      </c>
      <c r="D69" s="8" t="s">
        <v>192</v>
      </c>
      <c r="E69" s="8" t="s">
        <v>12</v>
      </c>
      <c r="F69" s="8" t="s">
        <v>13</v>
      </c>
      <c r="G69" s="8"/>
      <c r="H69" s="8" t="s">
        <v>14</v>
      </c>
      <c r="I69" s="8"/>
      <c r="J69" s="8">
        <v>3</v>
      </c>
      <c r="K69" s="8">
        <v>1000</v>
      </c>
      <c r="L69" s="8">
        <v>1.01</v>
      </c>
      <c r="M69" s="8">
        <v>0.94869999999999999</v>
      </c>
      <c r="N69" s="8">
        <v>37.948</v>
      </c>
    </row>
    <row r="70" spans="1:14" x14ac:dyDescent="0.2">
      <c r="A70" s="8" t="s">
        <v>326</v>
      </c>
      <c r="B70" s="8">
        <v>1.25</v>
      </c>
      <c r="C70" s="8" t="s">
        <v>327</v>
      </c>
      <c r="D70" s="8" t="s">
        <v>328</v>
      </c>
      <c r="E70" s="8" t="s">
        <v>87</v>
      </c>
      <c r="F70" s="8" t="s">
        <v>13</v>
      </c>
      <c r="G70" s="8">
        <v>22</v>
      </c>
      <c r="H70" s="8" t="s">
        <v>223</v>
      </c>
      <c r="I70" s="8"/>
      <c r="J70" s="8">
        <v>3</v>
      </c>
      <c r="K70" s="8">
        <v>750</v>
      </c>
      <c r="L70" s="8">
        <v>1.1299999999999999</v>
      </c>
      <c r="M70" s="8">
        <v>1.0687</v>
      </c>
      <c r="N70" s="8">
        <v>42.747999999999998</v>
      </c>
    </row>
    <row r="71" spans="1:14" x14ac:dyDescent="0.2">
      <c r="A71" s="8" t="s">
        <v>290</v>
      </c>
      <c r="B71" s="8">
        <v>1.1000000000000001</v>
      </c>
      <c r="C71" s="8" t="s">
        <v>291</v>
      </c>
      <c r="D71" s="8" t="s">
        <v>292</v>
      </c>
      <c r="E71" s="8" t="s">
        <v>87</v>
      </c>
      <c r="F71" s="8" t="s">
        <v>13</v>
      </c>
      <c r="G71" s="8">
        <v>25</v>
      </c>
      <c r="H71" s="8" t="s">
        <v>223</v>
      </c>
      <c r="I71" s="8"/>
      <c r="J71" s="8">
        <v>4</v>
      </c>
      <c r="K71" s="8">
        <v>899.99999999999989</v>
      </c>
      <c r="L71" s="8">
        <v>0</v>
      </c>
      <c r="M71" s="8">
        <v>0</v>
      </c>
      <c r="N71" s="8">
        <v>0</v>
      </c>
    </row>
    <row r="72" spans="1:14" x14ac:dyDescent="0.2">
      <c r="A72" s="8" t="s">
        <v>53</v>
      </c>
      <c r="B72" s="8">
        <v>1.25</v>
      </c>
      <c r="C72" s="8" t="s">
        <v>54</v>
      </c>
      <c r="D72" s="8"/>
      <c r="E72" s="8" t="s">
        <v>12</v>
      </c>
      <c r="F72" s="8" t="s">
        <v>13</v>
      </c>
      <c r="G72" s="8"/>
      <c r="H72" s="8" t="s">
        <v>14</v>
      </c>
      <c r="I72" s="8" t="s">
        <v>15</v>
      </c>
      <c r="J72" s="8">
        <v>4</v>
      </c>
      <c r="K72" s="8">
        <v>750</v>
      </c>
      <c r="L72" s="8">
        <v>0.17499999999999999</v>
      </c>
      <c r="M72" s="8">
        <v>0.11169999999999999</v>
      </c>
      <c r="N72" s="8">
        <v>4.468</v>
      </c>
    </row>
    <row r="73" spans="1:14" x14ac:dyDescent="0.2">
      <c r="A73" s="8" t="s">
        <v>350</v>
      </c>
      <c r="B73" s="8">
        <v>1.3</v>
      </c>
      <c r="C73" s="8" t="s">
        <v>351</v>
      </c>
      <c r="D73" s="8" t="s">
        <v>352</v>
      </c>
      <c r="E73" s="8" t="s">
        <v>87</v>
      </c>
      <c r="F73" s="8" t="s">
        <v>13</v>
      </c>
      <c r="G73" s="8">
        <v>23</v>
      </c>
      <c r="H73" s="8" t="s">
        <v>223</v>
      </c>
      <c r="I73" s="8"/>
      <c r="J73" s="8">
        <v>4</v>
      </c>
      <c r="K73" s="8">
        <v>700</v>
      </c>
      <c r="L73" s="8">
        <v>0.20100000000000001</v>
      </c>
      <c r="M73" s="8">
        <v>0.13770000000000002</v>
      </c>
      <c r="N73" s="8">
        <v>5.5080000000000009</v>
      </c>
    </row>
    <row r="74" spans="1:14" x14ac:dyDescent="0.2">
      <c r="A74" s="8" t="s">
        <v>59</v>
      </c>
      <c r="B74" s="8">
        <v>1.25</v>
      </c>
      <c r="C74" s="8" t="s">
        <v>60</v>
      </c>
      <c r="D74" s="8"/>
      <c r="E74" s="8" t="s">
        <v>12</v>
      </c>
      <c r="F74" s="8" t="s">
        <v>13</v>
      </c>
      <c r="G74" s="8"/>
      <c r="H74" s="8" t="s">
        <v>14</v>
      </c>
      <c r="I74" s="8" t="s">
        <v>15</v>
      </c>
      <c r="J74" s="8">
        <v>4</v>
      </c>
      <c r="K74" s="8">
        <v>750</v>
      </c>
      <c r="L74" s="8">
        <v>0.219</v>
      </c>
      <c r="M74" s="8">
        <v>0.15570000000000001</v>
      </c>
      <c r="N74" s="8">
        <v>6.2279999999999998</v>
      </c>
    </row>
    <row r="75" spans="1:14" x14ac:dyDescent="0.2">
      <c r="A75" s="8" t="s">
        <v>25</v>
      </c>
      <c r="B75" s="8">
        <v>1.25</v>
      </c>
      <c r="C75" s="8" t="s">
        <v>26</v>
      </c>
      <c r="D75" s="8"/>
      <c r="E75" s="8" t="s">
        <v>12</v>
      </c>
      <c r="F75" s="8" t="s">
        <v>13</v>
      </c>
      <c r="G75" s="8"/>
      <c r="H75" s="8" t="s">
        <v>14</v>
      </c>
      <c r="I75" s="8" t="s">
        <v>15</v>
      </c>
      <c r="J75" s="8">
        <v>4</v>
      </c>
      <c r="K75" s="8">
        <v>750</v>
      </c>
      <c r="L75" s="8">
        <v>0.222</v>
      </c>
      <c r="M75" s="8">
        <v>0.15870000000000001</v>
      </c>
      <c r="N75" s="8">
        <v>6.3480000000000008</v>
      </c>
    </row>
    <row r="76" spans="1:14" x14ac:dyDescent="0.2">
      <c r="A76" s="8" t="s">
        <v>97</v>
      </c>
      <c r="B76" s="8">
        <v>1.2</v>
      </c>
      <c r="C76" s="8" t="s">
        <v>98</v>
      </c>
      <c r="D76" s="8" t="s">
        <v>99</v>
      </c>
      <c r="E76" s="8" t="s">
        <v>87</v>
      </c>
      <c r="F76" s="8" t="s">
        <v>13</v>
      </c>
      <c r="G76" s="8">
        <v>25</v>
      </c>
      <c r="H76" s="8" t="s">
        <v>83</v>
      </c>
      <c r="I76" s="8"/>
      <c r="J76" s="8">
        <v>4</v>
      </c>
      <c r="K76" s="8">
        <v>800</v>
      </c>
      <c r="L76" s="8">
        <v>0.23499999999999999</v>
      </c>
      <c r="M76" s="8">
        <v>0.17169999999999999</v>
      </c>
      <c r="N76" s="8">
        <v>6.8679999999999994</v>
      </c>
    </row>
    <row r="77" spans="1:14" x14ac:dyDescent="0.2">
      <c r="A77" s="8" t="s">
        <v>106</v>
      </c>
      <c r="B77" s="8">
        <v>1.25</v>
      </c>
      <c r="C77" s="8" t="s">
        <v>107</v>
      </c>
      <c r="D77" s="8" t="s">
        <v>108</v>
      </c>
      <c r="E77" s="8" t="s">
        <v>87</v>
      </c>
      <c r="F77" s="8" t="s">
        <v>13</v>
      </c>
      <c r="G77" s="8">
        <v>31</v>
      </c>
      <c r="H77" s="8" t="s">
        <v>83</v>
      </c>
      <c r="I77" s="8"/>
      <c r="J77" s="8">
        <v>4</v>
      </c>
      <c r="K77" s="8">
        <v>750</v>
      </c>
      <c r="L77" s="8">
        <v>0.28199999999999997</v>
      </c>
      <c r="M77" s="8">
        <v>0.21869999999999998</v>
      </c>
      <c r="N77" s="8">
        <v>8.7479999999999993</v>
      </c>
    </row>
    <row r="78" spans="1:14" x14ac:dyDescent="0.2">
      <c r="A78" s="8" t="s">
        <v>71</v>
      </c>
      <c r="B78" s="8">
        <v>1.25</v>
      </c>
      <c r="C78" s="8" t="s">
        <v>72</v>
      </c>
      <c r="D78" s="8"/>
      <c r="E78" s="8" t="s">
        <v>12</v>
      </c>
      <c r="F78" s="8" t="s">
        <v>13</v>
      </c>
      <c r="G78" s="8"/>
      <c r="H78" s="8" t="s">
        <v>14</v>
      </c>
      <c r="I78" s="8" t="s">
        <v>15</v>
      </c>
      <c r="J78" s="8">
        <v>4</v>
      </c>
      <c r="K78" s="8">
        <v>750</v>
      </c>
      <c r="L78" s="8">
        <v>0.30099999999999999</v>
      </c>
      <c r="M78" s="8">
        <v>0.23769999999999999</v>
      </c>
      <c r="N78" s="8">
        <v>9.5079999999999991</v>
      </c>
    </row>
    <row r="79" spans="1:14" x14ac:dyDescent="0.2">
      <c r="A79" s="8" t="s">
        <v>23</v>
      </c>
      <c r="B79" s="8">
        <v>1.2</v>
      </c>
      <c r="C79" s="8" t="s">
        <v>24</v>
      </c>
      <c r="D79" s="8"/>
      <c r="E79" s="8" t="s">
        <v>12</v>
      </c>
      <c r="F79" s="8" t="s">
        <v>13</v>
      </c>
      <c r="G79" s="8"/>
      <c r="H79" s="8" t="s">
        <v>14</v>
      </c>
      <c r="I79" s="8" t="s">
        <v>15</v>
      </c>
      <c r="J79" s="8">
        <v>4</v>
      </c>
      <c r="K79" s="8">
        <v>800</v>
      </c>
      <c r="L79" s="8">
        <v>0.315</v>
      </c>
      <c r="M79" s="8">
        <v>0.25170000000000003</v>
      </c>
      <c r="N79" s="8">
        <v>10.068000000000001</v>
      </c>
    </row>
    <row r="80" spans="1:14" x14ac:dyDescent="0.2">
      <c r="A80" s="8" t="s">
        <v>251</v>
      </c>
      <c r="B80" s="8">
        <v>1.1000000000000001</v>
      </c>
      <c r="C80" s="8" t="s">
        <v>252</v>
      </c>
      <c r="D80" s="8" t="s">
        <v>253</v>
      </c>
      <c r="E80" s="8" t="s">
        <v>12</v>
      </c>
      <c r="F80" s="8" t="s">
        <v>13</v>
      </c>
      <c r="G80" s="8">
        <v>4</v>
      </c>
      <c r="H80" s="8" t="s">
        <v>223</v>
      </c>
      <c r="I80" s="8"/>
      <c r="J80" s="8">
        <v>4</v>
      </c>
      <c r="K80" s="8">
        <v>899.99999999999989</v>
      </c>
      <c r="L80" s="8">
        <v>0.317</v>
      </c>
      <c r="M80" s="8">
        <v>0.25370000000000004</v>
      </c>
      <c r="N80" s="8">
        <v>10.148000000000001</v>
      </c>
    </row>
    <row r="81" spans="1:19" x14ac:dyDescent="0.2">
      <c r="A81" s="8" t="s">
        <v>148</v>
      </c>
      <c r="B81" s="8">
        <v>1.2</v>
      </c>
      <c r="C81" s="8" t="s">
        <v>149</v>
      </c>
      <c r="D81" s="8" t="s">
        <v>150</v>
      </c>
      <c r="E81" s="8" t="s">
        <v>87</v>
      </c>
      <c r="F81" s="8" t="s">
        <v>13</v>
      </c>
      <c r="G81" s="8">
        <v>23</v>
      </c>
      <c r="H81" s="8" t="s">
        <v>83</v>
      </c>
      <c r="I81" s="8"/>
      <c r="J81" s="8">
        <v>4</v>
      </c>
      <c r="K81" s="8">
        <v>800</v>
      </c>
      <c r="L81" s="8">
        <v>0.32700000000000001</v>
      </c>
      <c r="M81" s="8">
        <v>0.26370000000000005</v>
      </c>
      <c r="N81" s="8">
        <v>10.548000000000002</v>
      </c>
    </row>
    <row r="82" spans="1:19" x14ac:dyDescent="0.2">
      <c r="A82" s="8" t="s">
        <v>112</v>
      </c>
      <c r="B82" s="8">
        <v>1.35</v>
      </c>
      <c r="C82" s="8" t="s">
        <v>113</v>
      </c>
      <c r="D82" s="8" t="s">
        <v>114</v>
      </c>
      <c r="E82" s="8" t="s">
        <v>87</v>
      </c>
      <c r="F82" s="8" t="s">
        <v>13</v>
      </c>
      <c r="G82" s="8">
        <v>21</v>
      </c>
      <c r="H82" s="8" t="s">
        <v>83</v>
      </c>
      <c r="I82" s="8"/>
      <c r="J82" s="8">
        <v>4</v>
      </c>
      <c r="K82" s="8">
        <v>649.99999999999989</v>
      </c>
      <c r="L82" s="8">
        <v>0.34100000000000003</v>
      </c>
      <c r="M82" s="8">
        <v>0.27770000000000006</v>
      </c>
      <c r="N82" s="8">
        <v>11.108000000000002</v>
      </c>
      <c r="R82" s="19" t="s">
        <v>523</v>
      </c>
      <c r="S82" s="19">
        <f>STDEV(N10:N139)</f>
        <v>10.008863564725193</v>
      </c>
    </row>
    <row r="83" spans="1:19" x14ac:dyDescent="0.2">
      <c r="A83" s="8" t="s">
        <v>284</v>
      </c>
      <c r="B83" s="8">
        <v>1.3</v>
      </c>
      <c r="C83" s="8" t="s">
        <v>285</v>
      </c>
      <c r="D83" s="8" t="s">
        <v>286</v>
      </c>
      <c r="E83" s="8" t="s">
        <v>87</v>
      </c>
      <c r="F83" s="8" t="s">
        <v>13</v>
      </c>
      <c r="G83" s="8">
        <v>36</v>
      </c>
      <c r="H83" s="8" t="s">
        <v>223</v>
      </c>
      <c r="I83" s="8"/>
      <c r="J83" s="8">
        <v>4</v>
      </c>
      <c r="K83" s="8">
        <v>700</v>
      </c>
      <c r="L83" s="8">
        <v>0.35</v>
      </c>
      <c r="M83" s="8">
        <v>0.28669999999999995</v>
      </c>
      <c r="N83" s="8">
        <v>11.467999999999998</v>
      </c>
    </row>
    <row r="84" spans="1:19" x14ac:dyDescent="0.2">
      <c r="A84" s="8" t="s">
        <v>127</v>
      </c>
      <c r="B84" s="8">
        <v>1.45</v>
      </c>
      <c r="C84" s="8" t="s">
        <v>128</v>
      </c>
      <c r="D84" s="8" t="s">
        <v>129</v>
      </c>
      <c r="E84" s="8" t="s">
        <v>87</v>
      </c>
      <c r="F84" s="8" t="s">
        <v>13</v>
      </c>
      <c r="G84" s="8">
        <v>36</v>
      </c>
      <c r="H84" s="8" t="s">
        <v>83</v>
      </c>
      <c r="I84" s="8"/>
      <c r="J84" s="8">
        <v>4</v>
      </c>
      <c r="K84" s="8">
        <v>550</v>
      </c>
      <c r="L84" s="8">
        <v>0.38300000000000001</v>
      </c>
      <c r="M84" s="8">
        <v>0.31969999999999998</v>
      </c>
      <c r="N84" s="8">
        <v>12.788</v>
      </c>
    </row>
    <row r="85" spans="1:19" x14ac:dyDescent="0.2">
      <c r="A85" s="8" t="s">
        <v>389</v>
      </c>
      <c r="B85" s="8">
        <v>1.1499999999999999</v>
      </c>
      <c r="C85" s="8" t="s">
        <v>390</v>
      </c>
      <c r="D85" s="8" t="s">
        <v>391</v>
      </c>
      <c r="E85" s="8" t="s">
        <v>12</v>
      </c>
      <c r="F85" s="8" t="s">
        <v>13</v>
      </c>
      <c r="G85" s="8">
        <v>11</v>
      </c>
      <c r="H85" s="8" t="s">
        <v>83</v>
      </c>
      <c r="I85" s="8"/>
      <c r="J85" s="8">
        <v>4</v>
      </c>
      <c r="K85" s="8">
        <v>850.00000000000011</v>
      </c>
      <c r="L85" s="8">
        <v>0.38500000000000001</v>
      </c>
      <c r="M85" s="8">
        <v>0.32169999999999999</v>
      </c>
      <c r="N85" s="8">
        <v>12.867999999999999</v>
      </c>
    </row>
    <row r="86" spans="1:19" x14ac:dyDescent="0.2">
      <c r="A86" s="8" t="s">
        <v>193</v>
      </c>
      <c r="B86" s="8">
        <v>1</v>
      </c>
      <c r="C86" s="8" t="s">
        <v>194</v>
      </c>
      <c r="D86" s="8" t="s">
        <v>195</v>
      </c>
      <c r="E86" s="8" t="s">
        <v>12</v>
      </c>
      <c r="F86" s="8" t="s">
        <v>13</v>
      </c>
      <c r="G86" s="8"/>
      <c r="H86" s="8" t="s">
        <v>14</v>
      </c>
      <c r="I86" s="8"/>
      <c r="J86" s="8">
        <v>4</v>
      </c>
      <c r="K86" s="8">
        <v>1000</v>
      </c>
      <c r="L86" s="8">
        <v>0.40100000000000002</v>
      </c>
      <c r="M86" s="8">
        <v>0.3377</v>
      </c>
      <c r="N86" s="8">
        <v>13.507999999999999</v>
      </c>
    </row>
    <row r="87" spans="1:19" x14ac:dyDescent="0.2">
      <c r="A87" s="8" t="s">
        <v>43</v>
      </c>
      <c r="B87" s="8">
        <v>1.25</v>
      </c>
      <c r="C87" s="8" t="s">
        <v>44</v>
      </c>
      <c r="D87" s="8"/>
      <c r="E87" s="8" t="s">
        <v>12</v>
      </c>
      <c r="F87" s="8" t="s">
        <v>13</v>
      </c>
      <c r="G87" s="8">
        <v>10</v>
      </c>
      <c r="H87" s="8" t="s">
        <v>22</v>
      </c>
      <c r="I87" s="8" t="s">
        <v>15</v>
      </c>
      <c r="J87" s="8">
        <v>4</v>
      </c>
      <c r="K87" s="8">
        <v>750</v>
      </c>
      <c r="L87" s="8">
        <v>0.40699999999999997</v>
      </c>
      <c r="M87" s="8">
        <v>0.34370000000000001</v>
      </c>
      <c r="N87" s="8">
        <v>13.748000000000001</v>
      </c>
    </row>
    <row r="88" spans="1:19" x14ac:dyDescent="0.2">
      <c r="A88" s="8" t="s">
        <v>214</v>
      </c>
      <c r="B88" s="8">
        <v>1.25</v>
      </c>
      <c r="C88" s="8" t="s">
        <v>215</v>
      </c>
      <c r="D88" s="8" t="s">
        <v>216</v>
      </c>
      <c r="E88" s="8" t="s">
        <v>12</v>
      </c>
      <c r="F88" s="8" t="s">
        <v>13</v>
      </c>
      <c r="G88" s="8">
        <v>4</v>
      </c>
      <c r="H88" s="8" t="s">
        <v>83</v>
      </c>
      <c r="I88" s="8"/>
      <c r="J88" s="8">
        <v>4</v>
      </c>
      <c r="K88" s="8">
        <v>750</v>
      </c>
      <c r="L88" s="8">
        <v>0.46700000000000003</v>
      </c>
      <c r="M88" s="8">
        <v>0.40370000000000006</v>
      </c>
      <c r="N88" s="8">
        <v>16.148000000000003</v>
      </c>
    </row>
    <row r="89" spans="1:19" x14ac:dyDescent="0.2">
      <c r="A89" s="8" t="s">
        <v>47</v>
      </c>
      <c r="B89" s="8">
        <v>1.2</v>
      </c>
      <c r="C89" s="8" t="s">
        <v>48</v>
      </c>
      <c r="D89" s="8"/>
      <c r="E89" s="8" t="s">
        <v>12</v>
      </c>
      <c r="F89" s="8" t="s">
        <v>13</v>
      </c>
      <c r="G89" s="8"/>
      <c r="H89" s="8" t="s">
        <v>14</v>
      </c>
      <c r="I89" s="8" t="s">
        <v>15</v>
      </c>
      <c r="J89" s="8">
        <v>4</v>
      </c>
      <c r="K89" s="8">
        <v>800</v>
      </c>
      <c r="L89" s="8">
        <v>0.47599999999999998</v>
      </c>
      <c r="M89" s="8">
        <v>0.41269999999999996</v>
      </c>
      <c r="N89" s="8">
        <v>16.507999999999999</v>
      </c>
    </row>
    <row r="90" spans="1:19" x14ac:dyDescent="0.2">
      <c r="A90" s="8" t="s">
        <v>245</v>
      </c>
      <c r="B90" s="8">
        <v>1.4</v>
      </c>
      <c r="C90" s="8" t="s">
        <v>246</v>
      </c>
      <c r="D90" s="8" t="s">
        <v>247</v>
      </c>
      <c r="E90" s="8" t="s">
        <v>12</v>
      </c>
      <c r="F90" s="8" t="s">
        <v>13</v>
      </c>
      <c r="G90" s="8">
        <v>11</v>
      </c>
      <c r="H90" s="8" t="s">
        <v>223</v>
      </c>
      <c r="I90" s="8"/>
      <c r="J90" s="8">
        <v>4</v>
      </c>
      <c r="K90" s="8">
        <v>600.00000000000011</v>
      </c>
      <c r="L90" s="8">
        <v>0.50700000000000001</v>
      </c>
      <c r="M90" s="8">
        <v>0.44369999999999998</v>
      </c>
      <c r="N90" s="8">
        <v>17.747999999999998</v>
      </c>
    </row>
    <row r="91" spans="1:19" x14ac:dyDescent="0.2">
      <c r="A91" s="8" t="s">
        <v>311</v>
      </c>
      <c r="B91" s="8">
        <v>1</v>
      </c>
      <c r="C91" s="8" t="s">
        <v>312</v>
      </c>
      <c r="D91" s="8" t="s">
        <v>313</v>
      </c>
      <c r="E91" s="8" t="s">
        <v>87</v>
      </c>
      <c r="F91" s="8" t="s">
        <v>13</v>
      </c>
      <c r="G91" s="8">
        <v>21</v>
      </c>
      <c r="H91" s="8" t="s">
        <v>223</v>
      </c>
      <c r="I91" s="8"/>
      <c r="J91" s="8">
        <v>4</v>
      </c>
      <c r="K91" s="8">
        <v>1000</v>
      </c>
      <c r="L91" s="8">
        <v>0.55400000000000005</v>
      </c>
      <c r="M91" s="8">
        <v>0.49070000000000003</v>
      </c>
      <c r="N91" s="8">
        <v>19.628</v>
      </c>
    </row>
    <row r="92" spans="1:19" x14ac:dyDescent="0.2">
      <c r="A92" s="8" t="s">
        <v>305</v>
      </c>
      <c r="B92" s="8">
        <v>1.25</v>
      </c>
      <c r="C92" s="8" t="s">
        <v>306</v>
      </c>
      <c r="D92" s="8" t="s">
        <v>307</v>
      </c>
      <c r="E92" s="8" t="s">
        <v>87</v>
      </c>
      <c r="F92" s="8" t="s">
        <v>13</v>
      </c>
      <c r="G92" s="8">
        <v>31</v>
      </c>
      <c r="H92" s="8" t="s">
        <v>223</v>
      </c>
      <c r="I92" s="8"/>
      <c r="J92" s="8">
        <v>4</v>
      </c>
      <c r="K92" s="8">
        <v>750</v>
      </c>
      <c r="L92" s="8">
        <v>0.55900000000000005</v>
      </c>
      <c r="M92" s="8">
        <v>0.49570000000000003</v>
      </c>
      <c r="N92" s="8">
        <v>19.828000000000003</v>
      </c>
    </row>
    <row r="93" spans="1:19" x14ac:dyDescent="0.2">
      <c r="A93" s="8" t="s">
        <v>266</v>
      </c>
      <c r="B93" s="8">
        <v>1.3</v>
      </c>
      <c r="C93" s="8" t="s">
        <v>267</v>
      </c>
      <c r="D93" s="8" t="s">
        <v>268</v>
      </c>
      <c r="E93" s="8" t="s">
        <v>12</v>
      </c>
      <c r="F93" s="8" t="s">
        <v>13</v>
      </c>
      <c r="G93" s="8">
        <v>10</v>
      </c>
      <c r="H93" s="8" t="s">
        <v>223</v>
      </c>
      <c r="I93" s="8"/>
      <c r="J93" s="8">
        <v>4</v>
      </c>
      <c r="K93" s="8">
        <v>700</v>
      </c>
      <c r="L93" s="8">
        <v>0.78700000000000003</v>
      </c>
      <c r="M93" s="8">
        <v>0.72370000000000001</v>
      </c>
      <c r="N93" s="8">
        <v>28.948</v>
      </c>
    </row>
    <row r="94" spans="1:19" x14ac:dyDescent="0.2">
      <c r="A94" s="8" t="s">
        <v>208</v>
      </c>
      <c r="B94" s="8">
        <v>1</v>
      </c>
      <c r="C94" s="8" t="s">
        <v>209</v>
      </c>
      <c r="D94" s="8" t="s">
        <v>210</v>
      </c>
      <c r="E94" s="8" t="s">
        <v>12</v>
      </c>
      <c r="F94" s="8" t="s">
        <v>13</v>
      </c>
      <c r="G94" s="8"/>
      <c r="H94" s="8" t="s">
        <v>14</v>
      </c>
      <c r="I94" s="8"/>
      <c r="J94" s="8">
        <v>5</v>
      </c>
      <c r="K94" s="8">
        <v>1000</v>
      </c>
      <c r="L94" s="8">
        <v>0.28599999999999998</v>
      </c>
      <c r="M94" s="8">
        <v>0</v>
      </c>
      <c r="N94" s="8">
        <v>0</v>
      </c>
    </row>
    <row r="95" spans="1:19" x14ac:dyDescent="0.2">
      <c r="A95" s="8" t="s">
        <v>196</v>
      </c>
      <c r="B95" s="8">
        <v>1</v>
      </c>
      <c r="C95" s="8" t="s">
        <v>197</v>
      </c>
      <c r="D95" s="8" t="s">
        <v>198</v>
      </c>
      <c r="E95" s="8" t="s">
        <v>12</v>
      </c>
      <c r="F95" s="8" t="s">
        <v>13</v>
      </c>
      <c r="G95" s="8"/>
      <c r="H95" s="8" t="s">
        <v>14</v>
      </c>
      <c r="I95" s="8"/>
      <c r="J95" s="8">
        <v>5</v>
      </c>
      <c r="K95" s="8">
        <v>1000</v>
      </c>
      <c r="L95" s="8">
        <v>0.20200000000000001</v>
      </c>
      <c r="M95" s="8">
        <v>0</v>
      </c>
      <c r="N95" s="8">
        <v>0</v>
      </c>
    </row>
    <row r="96" spans="1:19" x14ac:dyDescent="0.2">
      <c r="A96" s="8" t="s">
        <v>287</v>
      </c>
      <c r="B96" s="8">
        <v>1</v>
      </c>
      <c r="C96" s="8" t="s">
        <v>288</v>
      </c>
      <c r="D96" s="8" t="s">
        <v>289</v>
      </c>
      <c r="E96" s="8" t="s">
        <v>87</v>
      </c>
      <c r="F96" s="8" t="s">
        <v>13</v>
      </c>
      <c r="G96" s="8">
        <v>26</v>
      </c>
      <c r="H96" s="8" t="s">
        <v>223</v>
      </c>
      <c r="I96" s="8"/>
      <c r="J96" s="8">
        <v>5</v>
      </c>
      <c r="K96" s="8">
        <v>1000</v>
      </c>
      <c r="L96" s="8"/>
      <c r="M96" s="8">
        <v>0</v>
      </c>
      <c r="N96" s="8">
        <v>0</v>
      </c>
    </row>
    <row r="97" spans="1:14" x14ac:dyDescent="0.2">
      <c r="A97" s="8" t="s">
        <v>91</v>
      </c>
      <c r="B97" s="8">
        <v>1.35</v>
      </c>
      <c r="C97" s="8" t="s">
        <v>92</v>
      </c>
      <c r="D97" s="8" t="s">
        <v>93</v>
      </c>
      <c r="E97" s="8" t="s">
        <v>12</v>
      </c>
      <c r="F97" s="8" t="s">
        <v>13</v>
      </c>
      <c r="G97" s="8">
        <v>44</v>
      </c>
      <c r="H97" s="8" t="s">
        <v>83</v>
      </c>
      <c r="I97" s="8"/>
      <c r="J97" s="8">
        <v>5</v>
      </c>
      <c r="K97" s="8">
        <v>649.99999999999989</v>
      </c>
      <c r="L97" s="8">
        <v>0.30099999999999999</v>
      </c>
      <c r="M97" s="8">
        <v>0</v>
      </c>
      <c r="N97" s="8">
        <v>0</v>
      </c>
    </row>
    <row r="98" spans="1:14" x14ac:dyDescent="0.2">
      <c r="A98" s="8" t="s">
        <v>224</v>
      </c>
      <c r="B98" s="8">
        <v>1.25</v>
      </c>
      <c r="C98" s="8" t="s">
        <v>225</v>
      </c>
      <c r="D98" s="8" t="s">
        <v>226</v>
      </c>
      <c r="E98" s="8" t="s">
        <v>12</v>
      </c>
      <c r="F98" s="8" t="s">
        <v>13</v>
      </c>
      <c r="G98" s="8">
        <v>44</v>
      </c>
      <c r="H98" s="8" t="s">
        <v>223</v>
      </c>
      <c r="I98" s="8"/>
      <c r="J98" s="8">
        <v>5</v>
      </c>
      <c r="K98" s="8">
        <v>750</v>
      </c>
      <c r="L98" s="8">
        <v>0.40699999999999997</v>
      </c>
      <c r="M98" s="8">
        <v>5.9999999999999498E-3</v>
      </c>
      <c r="N98" s="8">
        <v>0.23999999999999799</v>
      </c>
    </row>
    <row r="99" spans="1:14" x14ac:dyDescent="0.2">
      <c r="A99" s="8" t="s">
        <v>118</v>
      </c>
      <c r="B99" s="8">
        <v>1.35</v>
      </c>
      <c r="C99" s="8" t="s">
        <v>119</v>
      </c>
      <c r="D99" s="8" t="s">
        <v>120</v>
      </c>
      <c r="E99" s="8" t="s">
        <v>87</v>
      </c>
      <c r="F99" s="8" t="s">
        <v>13</v>
      </c>
      <c r="G99" s="8">
        <v>40</v>
      </c>
      <c r="H99" s="8" t="s">
        <v>83</v>
      </c>
      <c r="I99" s="8"/>
      <c r="J99" s="8">
        <v>5</v>
      </c>
      <c r="K99" s="8">
        <v>649.99999999999989</v>
      </c>
      <c r="L99" s="8">
        <v>0.41499999999999998</v>
      </c>
      <c r="M99" s="8">
        <v>1.3999999999999957E-2</v>
      </c>
      <c r="N99" s="8">
        <v>0.55999999999999828</v>
      </c>
    </row>
    <row r="100" spans="1:14" x14ac:dyDescent="0.2">
      <c r="A100" s="8" t="s">
        <v>199</v>
      </c>
      <c r="B100" s="8">
        <v>1</v>
      </c>
      <c r="C100" s="8" t="s">
        <v>200</v>
      </c>
      <c r="D100" s="8" t="s">
        <v>201</v>
      </c>
      <c r="E100" s="8" t="s">
        <v>12</v>
      </c>
      <c r="F100" s="8" t="s">
        <v>13</v>
      </c>
      <c r="G100" s="8"/>
      <c r="H100" s="8" t="s">
        <v>14</v>
      </c>
      <c r="I100" s="8"/>
      <c r="J100" s="8">
        <v>5</v>
      </c>
      <c r="K100" s="8">
        <v>1000</v>
      </c>
      <c r="L100" s="8">
        <v>0.41799999999999998</v>
      </c>
      <c r="M100" s="8">
        <v>1.699999999999996E-2</v>
      </c>
      <c r="N100" s="8">
        <v>0.67999999999999838</v>
      </c>
    </row>
    <row r="101" spans="1:14" x14ac:dyDescent="0.2">
      <c r="A101" s="8" t="s">
        <v>27</v>
      </c>
      <c r="B101" s="8">
        <v>1.25</v>
      </c>
      <c r="C101" s="8" t="s">
        <v>28</v>
      </c>
      <c r="D101" s="8"/>
      <c r="E101" s="8" t="s">
        <v>12</v>
      </c>
      <c r="F101" s="8" t="s">
        <v>13</v>
      </c>
      <c r="G101" s="8"/>
      <c r="H101" s="8" t="s">
        <v>14</v>
      </c>
      <c r="I101" s="8" t="s">
        <v>15</v>
      </c>
      <c r="J101" s="8">
        <v>5</v>
      </c>
      <c r="K101" s="8">
        <v>750</v>
      </c>
      <c r="L101" s="8">
        <v>0.42399999999999999</v>
      </c>
      <c r="M101" s="8">
        <v>2.2999999999999965E-2</v>
      </c>
      <c r="N101" s="8">
        <v>0.9199999999999986</v>
      </c>
    </row>
    <row r="102" spans="1:14" x14ac:dyDescent="0.2">
      <c r="A102" s="8" t="s">
        <v>172</v>
      </c>
      <c r="B102" s="8">
        <v>1</v>
      </c>
      <c r="C102" s="8" t="s">
        <v>173</v>
      </c>
      <c r="D102" s="8" t="s">
        <v>174</v>
      </c>
      <c r="E102" s="8" t="s">
        <v>12</v>
      </c>
      <c r="F102" s="8" t="s">
        <v>13</v>
      </c>
      <c r="G102" s="8"/>
      <c r="H102" s="8" t="s">
        <v>14</v>
      </c>
      <c r="I102" s="8"/>
      <c r="J102" s="8">
        <v>5</v>
      </c>
      <c r="K102" s="8">
        <v>1000</v>
      </c>
      <c r="L102" s="8">
        <v>0.42699999999999999</v>
      </c>
      <c r="M102" s="8">
        <v>2.5999999999999968E-2</v>
      </c>
      <c r="N102" s="8">
        <v>1.0399999999999987</v>
      </c>
    </row>
    <row r="103" spans="1:14" x14ac:dyDescent="0.2">
      <c r="A103" s="8" t="s">
        <v>166</v>
      </c>
      <c r="B103" s="8">
        <v>1.25</v>
      </c>
      <c r="C103" s="8" t="s">
        <v>167</v>
      </c>
      <c r="D103" s="8" t="s">
        <v>168</v>
      </c>
      <c r="E103" s="8" t="s">
        <v>87</v>
      </c>
      <c r="F103" s="8" t="s">
        <v>13</v>
      </c>
      <c r="G103" s="8">
        <v>39</v>
      </c>
      <c r="H103" s="8" t="s">
        <v>83</v>
      </c>
      <c r="I103" s="8"/>
      <c r="J103" s="8">
        <v>5</v>
      </c>
      <c r="K103" s="8">
        <v>750</v>
      </c>
      <c r="L103" s="8">
        <v>0.44400000000000001</v>
      </c>
      <c r="M103" s="8">
        <v>4.2999999999999983E-2</v>
      </c>
      <c r="N103" s="8">
        <v>1.7199999999999993</v>
      </c>
    </row>
    <row r="104" spans="1:14" x14ac:dyDescent="0.2">
      <c r="A104" s="8" t="s">
        <v>16</v>
      </c>
      <c r="B104" s="8">
        <v>1.25</v>
      </c>
      <c r="C104" s="8" t="s">
        <v>17</v>
      </c>
      <c r="D104" s="8"/>
      <c r="E104" s="8" t="s">
        <v>12</v>
      </c>
      <c r="F104" s="8" t="s">
        <v>13</v>
      </c>
      <c r="G104" s="8"/>
      <c r="H104" s="8" t="s">
        <v>14</v>
      </c>
      <c r="I104" s="8" t="s">
        <v>15</v>
      </c>
      <c r="J104" s="8">
        <v>5</v>
      </c>
      <c r="K104" s="8">
        <v>750</v>
      </c>
      <c r="L104" s="8">
        <v>0.44700000000000001</v>
      </c>
      <c r="M104" s="8">
        <v>4.5999999999999985E-2</v>
      </c>
      <c r="N104" s="8">
        <v>1.8399999999999994</v>
      </c>
    </row>
    <row r="105" spans="1:14" x14ac:dyDescent="0.2">
      <c r="A105" s="8" t="s">
        <v>187</v>
      </c>
      <c r="B105" s="8">
        <v>1</v>
      </c>
      <c r="C105" s="8" t="s">
        <v>188</v>
      </c>
      <c r="D105" s="8" t="s">
        <v>189</v>
      </c>
      <c r="E105" s="8" t="s">
        <v>12</v>
      </c>
      <c r="F105" s="8" t="s">
        <v>13</v>
      </c>
      <c r="G105" s="8"/>
      <c r="H105" s="8" t="s">
        <v>14</v>
      </c>
      <c r="I105" s="8"/>
      <c r="J105" s="8">
        <v>5</v>
      </c>
      <c r="K105" s="8">
        <v>1000</v>
      </c>
      <c r="L105" s="8">
        <v>0.45</v>
      </c>
      <c r="M105" s="8">
        <v>4.8999999999999988E-2</v>
      </c>
      <c r="N105" s="8">
        <v>1.9599999999999995</v>
      </c>
    </row>
    <row r="106" spans="1:14" x14ac:dyDescent="0.2">
      <c r="A106" s="8" t="s">
        <v>308</v>
      </c>
      <c r="B106" s="8">
        <v>1.2</v>
      </c>
      <c r="C106" s="8" t="s">
        <v>309</v>
      </c>
      <c r="D106" s="8" t="s">
        <v>310</v>
      </c>
      <c r="E106" s="8" t="s">
        <v>87</v>
      </c>
      <c r="F106" s="8" t="s">
        <v>13</v>
      </c>
      <c r="G106" s="8">
        <v>18</v>
      </c>
      <c r="H106" s="8" t="s">
        <v>223</v>
      </c>
      <c r="I106" s="8"/>
      <c r="J106" s="8">
        <v>5</v>
      </c>
      <c r="K106" s="8">
        <v>800</v>
      </c>
      <c r="L106" s="8">
        <v>0.45400000000000001</v>
      </c>
      <c r="M106" s="8">
        <v>5.2999999999999992E-2</v>
      </c>
      <c r="N106" s="8">
        <v>2.1199999999999997</v>
      </c>
    </row>
    <row r="107" spans="1:14" x14ac:dyDescent="0.2">
      <c r="A107" s="8" t="s">
        <v>77</v>
      </c>
      <c r="B107" s="8">
        <v>1.25</v>
      </c>
      <c r="C107" s="8" t="s">
        <v>78</v>
      </c>
      <c r="D107" s="8" t="s">
        <v>79</v>
      </c>
      <c r="E107" s="8" t="s">
        <v>12</v>
      </c>
      <c r="F107" s="8" t="s">
        <v>13</v>
      </c>
      <c r="G107" s="8">
        <v>17</v>
      </c>
      <c r="H107" s="8" t="s">
        <v>22</v>
      </c>
      <c r="I107" s="8"/>
      <c r="J107" s="8">
        <v>5</v>
      </c>
      <c r="K107" s="8">
        <v>750</v>
      </c>
      <c r="L107" s="8">
        <v>0.48699999999999999</v>
      </c>
      <c r="M107" s="8">
        <v>8.5999999999999965E-2</v>
      </c>
      <c r="N107" s="8">
        <v>3.4399999999999986</v>
      </c>
    </row>
    <row r="108" spans="1:14" x14ac:dyDescent="0.2">
      <c r="A108" s="8" t="s">
        <v>88</v>
      </c>
      <c r="B108" s="8">
        <v>1.1000000000000001</v>
      </c>
      <c r="C108" s="8" t="s">
        <v>89</v>
      </c>
      <c r="D108" s="8" t="s">
        <v>90</v>
      </c>
      <c r="E108" s="8" t="s">
        <v>87</v>
      </c>
      <c r="F108" s="8" t="s">
        <v>13</v>
      </c>
      <c r="G108" s="8">
        <v>38</v>
      </c>
      <c r="H108" s="8" t="s">
        <v>83</v>
      </c>
      <c r="I108" s="8"/>
      <c r="J108" s="8">
        <v>5</v>
      </c>
      <c r="K108" s="8">
        <v>899.99999999999989</v>
      </c>
      <c r="L108" s="8">
        <v>0.48699999999999999</v>
      </c>
      <c r="M108" s="8">
        <v>8.5999999999999965E-2</v>
      </c>
      <c r="N108" s="8">
        <v>3.4399999999999986</v>
      </c>
    </row>
    <row r="109" spans="1:14" x14ac:dyDescent="0.2">
      <c r="A109" s="8" t="s">
        <v>314</v>
      </c>
      <c r="B109" s="8">
        <v>1.1000000000000001</v>
      </c>
      <c r="C109" s="8" t="s">
        <v>315</v>
      </c>
      <c r="D109" s="8" t="s">
        <v>316</v>
      </c>
      <c r="E109" s="8" t="s">
        <v>87</v>
      </c>
      <c r="F109" s="8" t="s">
        <v>13</v>
      </c>
      <c r="G109" s="8">
        <v>40</v>
      </c>
      <c r="H109" s="8" t="s">
        <v>223</v>
      </c>
      <c r="I109" s="8"/>
      <c r="J109" s="8">
        <v>5</v>
      </c>
      <c r="K109" s="8">
        <v>899.99999999999989</v>
      </c>
      <c r="L109" s="8">
        <v>0.48799999999999999</v>
      </c>
      <c r="M109" s="8">
        <v>8.6999999999999966E-2</v>
      </c>
      <c r="N109" s="8">
        <v>3.4799999999999986</v>
      </c>
    </row>
    <row r="110" spans="1:14" x14ac:dyDescent="0.2">
      <c r="A110" s="8" t="s">
        <v>368</v>
      </c>
      <c r="B110" s="8">
        <v>1.3</v>
      </c>
      <c r="C110" s="8" t="s">
        <v>369</v>
      </c>
      <c r="D110" s="8" t="s">
        <v>370</v>
      </c>
      <c r="E110" s="8" t="s">
        <v>12</v>
      </c>
      <c r="F110" s="8" t="s">
        <v>13</v>
      </c>
      <c r="G110" s="8">
        <v>15</v>
      </c>
      <c r="H110" s="8" t="s">
        <v>83</v>
      </c>
      <c r="I110" s="8"/>
      <c r="J110" s="8">
        <v>5</v>
      </c>
      <c r="K110" s="8">
        <v>700</v>
      </c>
      <c r="L110" s="8">
        <v>0.501</v>
      </c>
      <c r="M110" s="8">
        <v>9.9999999999999978E-2</v>
      </c>
      <c r="N110" s="8">
        <v>3.9999999999999991</v>
      </c>
    </row>
    <row r="111" spans="1:14" x14ac:dyDescent="0.2">
      <c r="A111" s="8" t="s">
        <v>109</v>
      </c>
      <c r="B111" s="8">
        <v>1.3</v>
      </c>
      <c r="C111" s="8" t="s">
        <v>110</v>
      </c>
      <c r="D111" s="8" t="s">
        <v>111</v>
      </c>
      <c r="E111" s="8" t="s">
        <v>87</v>
      </c>
      <c r="F111" s="8" t="s">
        <v>13</v>
      </c>
      <c r="G111" s="8">
        <v>18</v>
      </c>
      <c r="H111" s="8" t="s">
        <v>83</v>
      </c>
      <c r="I111" s="8"/>
      <c r="J111" s="8">
        <v>5</v>
      </c>
      <c r="K111" s="8">
        <v>700</v>
      </c>
      <c r="L111" s="8">
        <v>0.56599999999999995</v>
      </c>
      <c r="M111" s="8">
        <v>0.16499999999999992</v>
      </c>
      <c r="N111" s="8">
        <v>6.599999999999997</v>
      </c>
    </row>
    <row r="112" spans="1:14" x14ac:dyDescent="0.2">
      <c r="A112" s="8" t="s">
        <v>242</v>
      </c>
      <c r="B112" s="8">
        <v>1.2</v>
      </c>
      <c r="C112" s="8" t="s">
        <v>243</v>
      </c>
      <c r="D112" s="8" t="s">
        <v>244</v>
      </c>
      <c r="E112" s="8" t="s">
        <v>12</v>
      </c>
      <c r="F112" s="8" t="s">
        <v>13</v>
      </c>
      <c r="G112" s="8">
        <v>17</v>
      </c>
      <c r="H112" s="8" t="s">
        <v>223</v>
      </c>
      <c r="I112" s="8"/>
      <c r="J112" s="8">
        <v>5</v>
      </c>
      <c r="K112" s="8">
        <v>800</v>
      </c>
      <c r="L112" s="8">
        <v>0.59699999999999998</v>
      </c>
      <c r="M112" s="8">
        <v>0.19599999999999995</v>
      </c>
      <c r="N112" s="8">
        <v>7.8399999999999981</v>
      </c>
    </row>
    <row r="113" spans="1:14" x14ac:dyDescent="0.2">
      <c r="A113" s="8" t="s">
        <v>299</v>
      </c>
      <c r="B113" s="8">
        <v>1.3</v>
      </c>
      <c r="C113" s="8" t="s">
        <v>300</v>
      </c>
      <c r="D113" s="8" t="s">
        <v>301</v>
      </c>
      <c r="E113" s="8" t="s">
        <v>87</v>
      </c>
      <c r="F113" s="8" t="s">
        <v>13</v>
      </c>
      <c r="G113" s="8">
        <v>38</v>
      </c>
      <c r="H113" s="8" t="s">
        <v>223</v>
      </c>
      <c r="I113" s="8"/>
      <c r="J113" s="8">
        <v>5</v>
      </c>
      <c r="K113" s="8">
        <v>700</v>
      </c>
      <c r="L113" s="8">
        <v>0.60499999999999998</v>
      </c>
      <c r="M113" s="8">
        <v>0.20399999999999996</v>
      </c>
      <c r="N113" s="8">
        <v>8.1599999999999984</v>
      </c>
    </row>
    <row r="114" spans="1:14" x14ac:dyDescent="0.2">
      <c r="A114" s="8" t="s">
        <v>100</v>
      </c>
      <c r="B114" s="8">
        <v>1.2</v>
      </c>
      <c r="C114" s="8" t="s">
        <v>101</v>
      </c>
      <c r="D114" s="8" t="s">
        <v>102</v>
      </c>
      <c r="E114" s="8" t="s">
        <v>87</v>
      </c>
      <c r="F114" s="8" t="s">
        <v>13</v>
      </c>
      <c r="G114" s="8">
        <v>26</v>
      </c>
      <c r="H114" s="8" t="s">
        <v>83</v>
      </c>
      <c r="I114" s="8"/>
      <c r="J114" s="8">
        <v>5</v>
      </c>
      <c r="K114" s="8">
        <v>800</v>
      </c>
      <c r="L114" s="8">
        <v>0.67300000000000004</v>
      </c>
      <c r="M114" s="8">
        <v>0.27200000000000002</v>
      </c>
      <c r="N114" s="8">
        <v>10.88</v>
      </c>
    </row>
    <row r="115" spans="1:14" x14ac:dyDescent="0.2">
      <c r="A115" s="8" t="s">
        <v>278</v>
      </c>
      <c r="B115" s="8">
        <v>1</v>
      </c>
      <c r="C115" s="8" t="s">
        <v>279</v>
      </c>
      <c r="D115" s="8" t="s">
        <v>280</v>
      </c>
      <c r="E115" s="8" t="s">
        <v>12</v>
      </c>
      <c r="F115" s="8" t="s">
        <v>13</v>
      </c>
      <c r="G115" s="8">
        <v>15</v>
      </c>
      <c r="H115" s="8" t="s">
        <v>223</v>
      </c>
      <c r="I115" s="8"/>
      <c r="J115" s="8">
        <v>5</v>
      </c>
      <c r="K115" s="8">
        <v>1000</v>
      </c>
      <c r="L115" s="8">
        <v>0.97299999999999998</v>
      </c>
      <c r="M115" s="8">
        <v>0.57199999999999995</v>
      </c>
      <c r="N115" s="8">
        <v>22.88</v>
      </c>
    </row>
    <row r="116" spans="1:14" x14ac:dyDescent="0.2">
      <c r="A116" s="8" t="s">
        <v>332</v>
      </c>
      <c r="B116" s="8">
        <v>1</v>
      </c>
      <c r="C116" s="8" t="s">
        <v>333</v>
      </c>
      <c r="D116" s="8" t="s">
        <v>334</v>
      </c>
      <c r="E116" s="8" t="s">
        <v>87</v>
      </c>
      <c r="F116" s="8" t="s">
        <v>13</v>
      </c>
      <c r="G116" s="8">
        <v>39</v>
      </c>
      <c r="H116" s="8" t="s">
        <v>223</v>
      </c>
      <c r="I116" s="8"/>
      <c r="J116" s="8">
        <v>5</v>
      </c>
      <c r="K116" s="8">
        <v>1000</v>
      </c>
      <c r="L116" s="8">
        <v>1.03</v>
      </c>
      <c r="M116" s="8">
        <v>0.629</v>
      </c>
      <c r="N116" s="8">
        <v>25.16</v>
      </c>
    </row>
    <row r="117" spans="1:14" x14ac:dyDescent="0.2">
      <c r="A117" s="8" t="s">
        <v>63</v>
      </c>
      <c r="B117" s="8">
        <v>1.2</v>
      </c>
      <c r="C117" s="8" t="s">
        <v>64</v>
      </c>
      <c r="D117" s="8"/>
      <c r="E117" s="8" t="s">
        <v>12</v>
      </c>
      <c r="F117" s="8" t="s">
        <v>13</v>
      </c>
      <c r="G117" s="8"/>
      <c r="H117" s="8" t="s">
        <v>14</v>
      </c>
      <c r="I117" s="8" t="s">
        <v>15</v>
      </c>
      <c r="J117" s="8">
        <v>6</v>
      </c>
      <c r="K117" s="8">
        <v>800</v>
      </c>
      <c r="L117" s="8">
        <v>0.23499999999999999</v>
      </c>
      <c r="M117" s="8">
        <v>0.03</v>
      </c>
      <c r="N117" s="8">
        <v>1.2</v>
      </c>
    </row>
    <row r="118" spans="1:14" x14ac:dyDescent="0.2">
      <c r="A118" s="8" t="s">
        <v>338</v>
      </c>
      <c r="B118" s="8">
        <v>1.2</v>
      </c>
      <c r="C118" s="8" t="s">
        <v>339</v>
      </c>
      <c r="D118" s="8" t="s">
        <v>340</v>
      </c>
      <c r="E118" s="8" t="s">
        <v>87</v>
      </c>
      <c r="F118" s="8" t="s">
        <v>13</v>
      </c>
      <c r="G118" s="8">
        <v>30</v>
      </c>
      <c r="H118" s="8" t="s">
        <v>223</v>
      </c>
      <c r="I118" s="8"/>
      <c r="J118" s="8">
        <v>6</v>
      </c>
      <c r="K118" s="8">
        <v>800</v>
      </c>
      <c r="L118" s="8">
        <v>0.307</v>
      </c>
      <c r="M118" s="8">
        <v>0.10200000000000001</v>
      </c>
      <c r="N118" s="8">
        <v>4.08</v>
      </c>
    </row>
    <row r="119" spans="1:14" x14ac:dyDescent="0.2">
      <c r="A119" s="8" t="s">
        <v>163</v>
      </c>
      <c r="B119" s="8">
        <v>1.35</v>
      </c>
      <c r="C119" s="8" t="s">
        <v>164</v>
      </c>
      <c r="D119" s="8" t="s">
        <v>165</v>
      </c>
      <c r="E119" s="8" t="s">
        <v>87</v>
      </c>
      <c r="F119" s="8" t="s">
        <v>13</v>
      </c>
      <c r="G119" s="8">
        <v>33</v>
      </c>
      <c r="H119" s="8" t="s">
        <v>83</v>
      </c>
      <c r="I119" s="8"/>
      <c r="J119" s="8">
        <v>6</v>
      </c>
      <c r="K119" s="8">
        <v>649.99999999999989</v>
      </c>
      <c r="L119" s="8">
        <v>0.32700000000000001</v>
      </c>
      <c r="M119" s="8">
        <v>0.12200000000000003</v>
      </c>
      <c r="N119" s="8">
        <v>4.8800000000000008</v>
      </c>
    </row>
    <row r="120" spans="1:14" x14ac:dyDescent="0.2">
      <c r="A120" s="8" t="s">
        <v>29</v>
      </c>
      <c r="B120" s="8">
        <v>1.25</v>
      </c>
      <c r="C120" s="8" t="s">
        <v>30</v>
      </c>
      <c r="D120" s="8"/>
      <c r="E120" s="8" t="s">
        <v>12</v>
      </c>
      <c r="F120" s="8" t="s">
        <v>13</v>
      </c>
      <c r="G120" s="8"/>
      <c r="H120" s="8" t="s">
        <v>14</v>
      </c>
      <c r="I120" s="8" t="s">
        <v>15</v>
      </c>
      <c r="J120" s="8">
        <v>6</v>
      </c>
      <c r="K120" s="8">
        <v>750</v>
      </c>
      <c r="L120" s="8">
        <v>0.33100000000000002</v>
      </c>
      <c r="M120" s="8">
        <v>0.12600000000000003</v>
      </c>
      <c r="N120" s="8">
        <v>5.0400000000000009</v>
      </c>
    </row>
    <row r="121" spans="1:14" x14ac:dyDescent="0.2">
      <c r="A121" s="8" t="s">
        <v>353</v>
      </c>
      <c r="B121" s="8">
        <v>1</v>
      </c>
      <c r="C121" s="8" t="s">
        <v>354</v>
      </c>
      <c r="D121" s="8" t="s">
        <v>355</v>
      </c>
      <c r="E121" s="8" t="s">
        <v>87</v>
      </c>
      <c r="F121" s="8" t="s">
        <v>13</v>
      </c>
      <c r="G121" s="8">
        <v>29</v>
      </c>
      <c r="H121" s="8" t="s">
        <v>223</v>
      </c>
      <c r="I121" s="8"/>
      <c r="J121" s="8">
        <v>6</v>
      </c>
      <c r="K121" s="8">
        <v>1000</v>
      </c>
      <c r="L121" s="8">
        <v>0.34899999999999998</v>
      </c>
      <c r="M121" s="8">
        <v>0.14399999999999999</v>
      </c>
      <c r="N121" s="8">
        <v>5.76</v>
      </c>
    </row>
    <row r="122" spans="1:14" x14ac:dyDescent="0.2">
      <c r="A122" s="8" t="s">
        <v>220</v>
      </c>
      <c r="B122" s="8">
        <v>1.25</v>
      </c>
      <c r="C122" s="8" t="s">
        <v>221</v>
      </c>
      <c r="D122" s="8" t="s">
        <v>222</v>
      </c>
      <c r="E122" s="8" t="s">
        <v>12</v>
      </c>
      <c r="F122" s="8" t="s">
        <v>13</v>
      </c>
      <c r="G122" s="8">
        <v>3</v>
      </c>
      <c r="H122" s="8" t="s">
        <v>223</v>
      </c>
      <c r="I122" s="8"/>
      <c r="J122" s="8">
        <v>6</v>
      </c>
      <c r="K122" s="8">
        <v>750</v>
      </c>
      <c r="L122" s="8">
        <v>0.38900000000000001</v>
      </c>
      <c r="M122" s="8">
        <v>0.18400000000000002</v>
      </c>
      <c r="N122" s="8">
        <v>7.3600000000000012</v>
      </c>
    </row>
    <row r="123" spans="1:14" x14ac:dyDescent="0.2">
      <c r="A123" s="8" t="s">
        <v>392</v>
      </c>
      <c r="B123" s="8">
        <v>1.1499999999999999</v>
      </c>
      <c r="C123" s="8" t="s">
        <v>393</v>
      </c>
      <c r="D123" s="8" t="s">
        <v>394</v>
      </c>
      <c r="E123" s="8" t="s">
        <v>12</v>
      </c>
      <c r="F123" s="8" t="s">
        <v>13</v>
      </c>
      <c r="G123" s="8">
        <v>6</v>
      </c>
      <c r="H123" s="8" t="s">
        <v>223</v>
      </c>
      <c r="I123" s="8"/>
      <c r="J123" s="8">
        <v>6</v>
      </c>
      <c r="K123" s="8">
        <v>850.00000000000011</v>
      </c>
      <c r="L123" s="8">
        <v>0.39100000000000001</v>
      </c>
      <c r="M123" s="8">
        <v>0.18600000000000003</v>
      </c>
      <c r="N123" s="8">
        <v>7.4400000000000013</v>
      </c>
    </row>
    <row r="124" spans="1:14" x14ac:dyDescent="0.2">
      <c r="A124" s="8" t="s">
        <v>136</v>
      </c>
      <c r="B124" s="8">
        <v>1.3</v>
      </c>
      <c r="C124" s="8" t="s">
        <v>137</v>
      </c>
      <c r="D124" s="8" t="s">
        <v>138</v>
      </c>
      <c r="E124" s="8" t="s">
        <v>87</v>
      </c>
      <c r="F124" s="8" t="s">
        <v>13</v>
      </c>
      <c r="G124" s="8">
        <v>37</v>
      </c>
      <c r="H124" s="8" t="s">
        <v>83</v>
      </c>
      <c r="I124" s="8"/>
      <c r="J124" s="8">
        <v>6</v>
      </c>
      <c r="K124" s="8">
        <v>700</v>
      </c>
      <c r="L124" s="8">
        <v>0.40100000000000002</v>
      </c>
      <c r="M124" s="8">
        <v>0.19600000000000004</v>
      </c>
      <c r="N124" s="8">
        <v>7.8400000000000016</v>
      </c>
    </row>
    <row r="125" spans="1:14" x14ac:dyDescent="0.2">
      <c r="A125" s="8" t="s">
        <v>175</v>
      </c>
      <c r="B125" s="8">
        <v>1</v>
      </c>
      <c r="C125" s="8" t="s">
        <v>176</v>
      </c>
      <c r="D125" s="8" t="s">
        <v>177</v>
      </c>
      <c r="E125" s="8" t="s">
        <v>12</v>
      </c>
      <c r="F125" s="8" t="s">
        <v>13</v>
      </c>
      <c r="G125" s="8"/>
      <c r="H125" s="8" t="s">
        <v>14</v>
      </c>
      <c r="I125" s="8"/>
      <c r="J125" s="8">
        <v>6</v>
      </c>
      <c r="K125" s="8">
        <v>1000</v>
      </c>
      <c r="L125" s="8">
        <v>0.41199999999999998</v>
      </c>
      <c r="M125" s="8">
        <v>0.20699999999999999</v>
      </c>
      <c r="N125" s="8">
        <v>8.2799999999999994</v>
      </c>
    </row>
    <row r="126" spans="1:14" x14ac:dyDescent="0.2">
      <c r="A126" s="8" t="s">
        <v>335</v>
      </c>
      <c r="B126" s="8">
        <v>1.25</v>
      </c>
      <c r="C126" s="8" t="s">
        <v>336</v>
      </c>
      <c r="D126" s="8" t="s">
        <v>337</v>
      </c>
      <c r="E126" s="8" t="s">
        <v>87</v>
      </c>
      <c r="F126" s="8" t="s">
        <v>13</v>
      </c>
      <c r="G126" s="8">
        <v>37</v>
      </c>
      <c r="H126" s="8" t="s">
        <v>223</v>
      </c>
      <c r="I126" s="8"/>
      <c r="J126" s="8">
        <v>6</v>
      </c>
      <c r="K126" s="8">
        <v>750</v>
      </c>
      <c r="L126" s="8">
        <v>0.42099999999999999</v>
      </c>
      <c r="M126" s="8">
        <v>0.216</v>
      </c>
      <c r="N126" s="8">
        <v>8.64</v>
      </c>
    </row>
    <row r="127" spans="1:14" x14ac:dyDescent="0.2">
      <c r="A127" s="8" t="s">
        <v>359</v>
      </c>
      <c r="B127" s="8">
        <v>1.1499999999999999</v>
      </c>
      <c r="C127" s="8" t="s">
        <v>360</v>
      </c>
      <c r="D127" s="8" t="s">
        <v>361</v>
      </c>
      <c r="E127" s="8" t="s">
        <v>12</v>
      </c>
      <c r="F127" s="8" t="s">
        <v>13</v>
      </c>
      <c r="G127" s="8">
        <v>2</v>
      </c>
      <c r="H127" s="8" t="s">
        <v>83</v>
      </c>
      <c r="I127" s="8"/>
      <c r="J127" s="8">
        <v>6</v>
      </c>
      <c r="K127" s="8">
        <v>850.00000000000011</v>
      </c>
      <c r="L127" s="8">
        <v>0.42399999999999999</v>
      </c>
      <c r="M127" s="8">
        <v>0.219</v>
      </c>
      <c r="N127" s="8">
        <v>8.76</v>
      </c>
    </row>
    <row r="128" spans="1:14" x14ac:dyDescent="0.2">
      <c r="A128" s="8" t="s">
        <v>55</v>
      </c>
      <c r="B128" s="8">
        <v>1.25</v>
      </c>
      <c r="C128" s="8" t="s">
        <v>56</v>
      </c>
      <c r="D128" s="8"/>
      <c r="E128" s="8" t="s">
        <v>12</v>
      </c>
      <c r="F128" s="8" t="s">
        <v>13</v>
      </c>
      <c r="G128" s="8"/>
      <c r="H128" s="8" t="s">
        <v>14</v>
      </c>
      <c r="I128" s="8" t="s">
        <v>15</v>
      </c>
      <c r="J128" s="8">
        <v>6</v>
      </c>
      <c r="K128" s="8">
        <v>750</v>
      </c>
      <c r="L128" s="8">
        <v>0.438</v>
      </c>
      <c r="M128" s="8">
        <v>0.23300000000000001</v>
      </c>
      <c r="N128" s="8">
        <v>9.32</v>
      </c>
    </row>
    <row r="129" spans="1:20" x14ac:dyDescent="0.2">
      <c r="A129" s="8" t="s">
        <v>130</v>
      </c>
      <c r="B129" s="8">
        <v>1.25</v>
      </c>
      <c r="C129" s="8" t="s">
        <v>131</v>
      </c>
      <c r="D129" s="8" t="s">
        <v>132</v>
      </c>
      <c r="E129" s="8" t="s">
        <v>87</v>
      </c>
      <c r="F129" s="8" t="s">
        <v>13</v>
      </c>
      <c r="G129" s="8">
        <v>30</v>
      </c>
      <c r="H129" s="8" t="s">
        <v>83</v>
      </c>
      <c r="I129" s="8"/>
      <c r="J129" s="8">
        <v>6</v>
      </c>
      <c r="K129" s="8">
        <v>750</v>
      </c>
      <c r="L129" s="8">
        <v>0.47499999999999998</v>
      </c>
      <c r="M129" s="8">
        <v>0.27</v>
      </c>
      <c r="N129" s="8">
        <v>10.8</v>
      </c>
    </row>
    <row r="130" spans="1:20" x14ac:dyDescent="0.2">
      <c r="A130" s="8" t="s">
        <v>347</v>
      </c>
      <c r="B130" s="8">
        <v>1</v>
      </c>
      <c r="C130" s="8" t="s">
        <v>348</v>
      </c>
      <c r="D130" s="8" t="s">
        <v>349</v>
      </c>
      <c r="E130" s="8" t="s">
        <v>87</v>
      </c>
      <c r="F130" s="8" t="s">
        <v>13</v>
      </c>
      <c r="G130" s="8">
        <v>33</v>
      </c>
      <c r="H130" s="8" t="s">
        <v>223</v>
      </c>
      <c r="I130" s="8"/>
      <c r="J130" s="8">
        <v>6</v>
      </c>
      <c r="K130" s="8">
        <v>1000</v>
      </c>
      <c r="L130" s="8">
        <v>0.47699999999999998</v>
      </c>
      <c r="M130" s="8">
        <v>0.27200000000000002</v>
      </c>
      <c r="N130" s="8">
        <v>10.88</v>
      </c>
    </row>
    <row r="131" spans="1:20" x14ac:dyDescent="0.2">
      <c r="A131" s="8" t="s">
        <v>20</v>
      </c>
      <c r="B131" s="8">
        <v>1.25</v>
      </c>
      <c r="C131" s="8" t="s">
        <v>21</v>
      </c>
      <c r="D131" s="8"/>
      <c r="E131" s="8" t="s">
        <v>12</v>
      </c>
      <c r="F131" s="8" t="s">
        <v>13</v>
      </c>
      <c r="G131" s="8">
        <v>6</v>
      </c>
      <c r="H131" s="8" t="s">
        <v>22</v>
      </c>
      <c r="I131" s="8" t="s">
        <v>15</v>
      </c>
      <c r="J131" s="8">
        <v>6</v>
      </c>
      <c r="K131" s="8">
        <v>750</v>
      </c>
      <c r="L131" s="8">
        <v>0.51500000000000001</v>
      </c>
      <c r="M131" s="8">
        <v>0.31000000000000005</v>
      </c>
      <c r="N131" s="8">
        <v>12.400000000000002</v>
      </c>
    </row>
    <row r="132" spans="1:20" x14ac:dyDescent="0.2">
      <c r="A132" s="8" t="s">
        <v>275</v>
      </c>
      <c r="B132" s="8">
        <v>1</v>
      </c>
      <c r="C132" s="8" t="s">
        <v>276</v>
      </c>
      <c r="D132" s="8" t="s">
        <v>277</v>
      </c>
      <c r="E132" s="8" t="s">
        <v>12</v>
      </c>
      <c r="F132" s="8" t="s">
        <v>13</v>
      </c>
      <c r="G132" s="8">
        <v>16</v>
      </c>
      <c r="H132" s="8" t="s">
        <v>223</v>
      </c>
      <c r="I132" s="8"/>
      <c r="J132" s="8">
        <v>6</v>
      </c>
      <c r="K132" s="8">
        <v>1000</v>
      </c>
      <c r="L132" s="8">
        <v>0.55500000000000005</v>
      </c>
      <c r="M132" s="8">
        <v>0.35000000000000009</v>
      </c>
      <c r="N132" s="8">
        <v>14.000000000000004</v>
      </c>
    </row>
    <row r="133" spans="1:20" x14ac:dyDescent="0.2">
      <c r="A133" s="8" t="s">
        <v>217</v>
      </c>
      <c r="B133" s="8">
        <v>1.35</v>
      </c>
      <c r="C133" s="8" t="s">
        <v>218</v>
      </c>
      <c r="D133" s="8" t="s">
        <v>219</v>
      </c>
      <c r="E133" s="8" t="s">
        <v>12</v>
      </c>
      <c r="F133" s="8" t="s">
        <v>13</v>
      </c>
      <c r="G133" s="8">
        <v>3</v>
      </c>
      <c r="H133" s="8" t="s">
        <v>83</v>
      </c>
      <c r="I133" s="8"/>
      <c r="J133" s="8">
        <v>6</v>
      </c>
      <c r="K133" s="8">
        <v>649.99999999999989</v>
      </c>
      <c r="L133" s="8">
        <v>0.56000000000000005</v>
      </c>
      <c r="M133" s="8">
        <v>0.35500000000000009</v>
      </c>
      <c r="N133" s="8">
        <v>14.200000000000003</v>
      </c>
    </row>
    <row r="134" spans="1:20" x14ac:dyDescent="0.2">
      <c r="A134" s="8" t="s">
        <v>31</v>
      </c>
      <c r="B134" s="8">
        <v>1.25</v>
      </c>
      <c r="C134" s="8" t="s">
        <v>32</v>
      </c>
      <c r="D134" s="8"/>
      <c r="E134" s="8" t="s">
        <v>12</v>
      </c>
      <c r="F134" s="8" t="s">
        <v>13</v>
      </c>
      <c r="G134" s="8"/>
      <c r="H134" s="8" t="s">
        <v>14</v>
      </c>
      <c r="I134" s="8" t="s">
        <v>15</v>
      </c>
      <c r="J134" s="8">
        <v>6</v>
      </c>
      <c r="K134" s="8">
        <v>750</v>
      </c>
      <c r="L134" s="8">
        <v>0.622</v>
      </c>
      <c r="M134" s="8">
        <v>0.41700000000000004</v>
      </c>
      <c r="N134" s="8">
        <v>16.68</v>
      </c>
    </row>
    <row r="135" spans="1:20" x14ac:dyDescent="0.2">
      <c r="A135" s="8" t="s">
        <v>75</v>
      </c>
      <c r="B135" s="8">
        <v>1.25</v>
      </c>
      <c r="C135" s="8" t="s">
        <v>76</v>
      </c>
      <c r="D135" s="8"/>
      <c r="E135" s="8" t="s">
        <v>12</v>
      </c>
      <c r="F135" s="8" t="s">
        <v>13</v>
      </c>
      <c r="G135" s="8">
        <v>16</v>
      </c>
      <c r="H135" s="8" t="s">
        <v>22</v>
      </c>
      <c r="I135" s="8" t="s">
        <v>15</v>
      </c>
      <c r="J135" s="8">
        <v>6</v>
      </c>
      <c r="K135" s="8">
        <v>750</v>
      </c>
      <c r="L135" s="8">
        <v>0.66700000000000004</v>
      </c>
      <c r="M135" s="8">
        <v>0.46200000000000008</v>
      </c>
      <c r="N135" s="8">
        <v>18.480000000000004</v>
      </c>
    </row>
    <row r="136" spans="1:20" x14ac:dyDescent="0.2">
      <c r="A136" s="8" t="s">
        <v>160</v>
      </c>
      <c r="B136" s="8">
        <v>1</v>
      </c>
      <c r="C136" s="8" t="s">
        <v>161</v>
      </c>
      <c r="D136" s="8" t="s">
        <v>162</v>
      </c>
      <c r="E136" s="8" t="s">
        <v>87</v>
      </c>
      <c r="F136" s="8" t="s">
        <v>13</v>
      </c>
      <c r="G136" s="8">
        <v>29</v>
      </c>
      <c r="H136" s="8" t="s">
        <v>83</v>
      </c>
      <c r="I136" s="8"/>
      <c r="J136" s="8">
        <v>6</v>
      </c>
      <c r="K136" s="8">
        <v>1000</v>
      </c>
      <c r="L136" s="8">
        <v>0.68</v>
      </c>
      <c r="M136" s="8">
        <v>0.47500000000000009</v>
      </c>
      <c r="N136" s="8">
        <v>19.000000000000004</v>
      </c>
    </row>
    <row r="137" spans="1:20" x14ac:dyDescent="0.2">
      <c r="A137" s="8" t="s">
        <v>233</v>
      </c>
      <c r="B137" s="8">
        <v>1.1000000000000001</v>
      </c>
      <c r="C137" s="8" t="s">
        <v>234</v>
      </c>
      <c r="D137" s="8" t="s">
        <v>235</v>
      </c>
      <c r="E137" s="8" t="s">
        <v>12</v>
      </c>
      <c r="F137" s="8" t="s">
        <v>13</v>
      </c>
      <c r="G137" s="8">
        <v>2</v>
      </c>
      <c r="H137" s="8" t="s">
        <v>223</v>
      </c>
      <c r="I137" s="8"/>
      <c r="J137" s="8">
        <v>6</v>
      </c>
      <c r="K137" s="8">
        <v>899.99999999999989</v>
      </c>
      <c r="L137" s="8">
        <v>0.72699999999999998</v>
      </c>
      <c r="M137" s="8">
        <v>0.52200000000000002</v>
      </c>
      <c r="N137" s="8">
        <v>20.880000000000003</v>
      </c>
    </row>
    <row r="138" spans="1:20" x14ac:dyDescent="0.2">
      <c r="A138" s="17"/>
      <c r="B138" s="17"/>
      <c r="C138" s="17"/>
      <c r="D138" s="17"/>
      <c r="E138" s="17"/>
      <c r="F138" s="17"/>
      <c r="G138" s="17"/>
      <c r="H138" s="18"/>
      <c r="I138" s="18"/>
      <c r="J138" s="18"/>
      <c r="K138" s="18"/>
      <c r="L138" s="18"/>
    </row>
    <row r="141" spans="1:20" x14ac:dyDescent="0.2">
      <c r="A141" s="20" t="s">
        <v>524</v>
      </c>
      <c r="O141" s="20" t="s">
        <v>655</v>
      </c>
    </row>
    <row r="142" spans="1:20" x14ac:dyDescent="0.2">
      <c r="A142" s="21" t="s">
        <v>0</v>
      </c>
      <c r="B142" s="8" t="s">
        <v>400</v>
      </c>
      <c r="C142" s="8" t="s">
        <v>410</v>
      </c>
      <c r="D142" s="8" t="s">
        <v>411</v>
      </c>
      <c r="E142" s="8" t="s">
        <v>412</v>
      </c>
      <c r="F142" s="8" t="s">
        <v>413</v>
      </c>
      <c r="G142" s="8" t="s">
        <v>414</v>
      </c>
      <c r="H142" s="8" t="s">
        <v>415</v>
      </c>
      <c r="I142" s="8" t="s">
        <v>416</v>
      </c>
      <c r="J142" s="8" t="s">
        <v>417</v>
      </c>
      <c r="K142" s="8" t="s">
        <v>418</v>
      </c>
      <c r="L142" s="8" t="s">
        <v>419</v>
      </c>
      <c r="M142" s="8" t="s">
        <v>532</v>
      </c>
      <c r="O142" s="21" t="s">
        <v>0</v>
      </c>
      <c r="P142" s="8" t="s">
        <v>400</v>
      </c>
      <c r="Q142" s="8" t="s">
        <v>410</v>
      </c>
      <c r="R142" s="8" t="s">
        <v>656</v>
      </c>
      <c r="S142" s="8" t="s">
        <v>657</v>
      </c>
      <c r="T142" s="8" t="s">
        <v>658</v>
      </c>
    </row>
    <row r="143" spans="1:20" x14ac:dyDescent="0.2">
      <c r="A143" s="8" t="s">
        <v>67</v>
      </c>
      <c r="B143" s="8">
        <v>0</v>
      </c>
      <c r="C143" s="8" t="s">
        <v>533</v>
      </c>
      <c r="D143" s="8" t="s">
        <v>425</v>
      </c>
      <c r="E143" s="8" t="s">
        <v>422</v>
      </c>
      <c r="F143" s="8" t="s">
        <v>525</v>
      </c>
      <c r="G143" s="8" t="s">
        <v>531</v>
      </c>
      <c r="H143" s="8" t="s">
        <v>420</v>
      </c>
      <c r="I143" s="8">
        <v>2</v>
      </c>
      <c r="J143" s="8">
        <v>0</v>
      </c>
      <c r="K143" s="8" t="s">
        <v>421</v>
      </c>
      <c r="L143" s="8"/>
      <c r="M143" s="8">
        <v>2</v>
      </c>
      <c r="O143" s="8" t="s">
        <v>67</v>
      </c>
      <c r="P143" s="8">
        <v>0</v>
      </c>
      <c r="Q143" s="8" t="s">
        <v>533</v>
      </c>
      <c r="R143" s="8" t="s">
        <v>659</v>
      </c>
      <c r="S143" s="8" t="s">
        <v>659</v>
      </c>
      <c r="T143" s="8" t="str">
        <f>IF(OR(R143="N",S143="Y"), "Y", "N")</f>
        <v>Y</v>
      </c>
    </row>
    <row r="144" spans="1:20" x14ac:dyDescent="0.2">
      <c r="A144" s="8" t="s">
        <v>184</v>
      </c>
      <c r="B144" s="8">
        <v>4.5000000000000012E-2</v>
      </c>
      <c r="C144" s="8" t="s">
        <v>534</v>
      </c>
      <c r="D144" s="8" t="s">
        <v>425</v>
      </c>
      <c r="E144" s="8" t="s">
        <v>422</v>
      </c>
      <c r="F144" s="8" t="s">
        <v>525</v>
      </c>
      <c r="G144" s="8" t="s">
        <v>531</v>
      </c>
      <c r="H144" s="8" t="s">
        <v>420</v>
      </c>
      <c r="I144" s="8">
        <v>2</v>
      </c>
      <c r="J144" s="8">
        <v>4.5000000000000012E-2</v>
      </c>
      <c r="K144" s="8" t="s">
        <v>421</v>
      </c>
      <c r="L144" s="8"/>
      <c r="M144" s="8">
        <v>2</v>
      </c>
      <c r="O144" s="8" t="s">
        <v>184</v>
      </c>
      <c r="P144" s="8">
        <v>4.5000000000000012E-2</v>
      </c>
      <c r="Q144" s="8" t="s">
        <v>534</v>
      </c>
      <c r="R144" s="8" t="s">
        <v>660</v>
      </c>
      <c r="S144" s="8" t="s">
        <v>660</v>
      </c>
      <c r="T144" s="8" t="str">
        <f t="shared" ref="T144:T207" si="0">IF(OR(R144="N",S144="Y"), "Y", "N")</f>
        <v>Y</v>
      </c>
    </row>
    <row r="145" spans="1:20" x14ac:dyDescent="0.2">
      <c r="A145" s="8" t="s">
        <v>236</v>
      </c>
      <c r="B145" s="8">
        <v>0.17699999999999999</v>
      </c>
      <c r="C145" s="8" t="s">
        <v>597</v>
      </c>
      <c r="D145" s="8" t="s">
        <v>425</v>
      </c>
      <c r="E145" s="8" t="s">
        <v>422</v>
      </c>
      <c r="F145" s="8" t="s">
        <v>525</v>
      </c>
      <c r="G145" s="8" t="s">
        <v>531</v>
      </c>
      <c r="H145" s="8" t="s">
        <v>420</v>
      </c>
      <c r="I145" s="8">
        <v>2</v>
      </c>
      <c r="J145" s="8">
        <v>0.17699999999999999</v>
      </c>
      <c r="K145" s="8" t="s">
        <v>421</v>
      </c>
      <c r="L145" s="8"/>
      <c r="M145" s="8">
        <v>2</v>
      </c>
      <c r="O145" s="8" t="s">
        <v>236</v>
      </c>
      <c r="P145" s="8">
        <v>0.17699999999999999</v>
      </c>
      <c r="Q145" s="8" t="s">
        <v>597</v>
      </c>
      <c r="R145" s="8" t="s">
        <v>659</v>
      </c>
      <c r="S145" s="8" t="s">
        <v>659</v>
      </c>
      <c r="T145" s="8" t="str">
        <f t="shared" si="0"/>
        <v>Y</v>
      </c>
    </row>
    <row r="146" spans="1:20" x14ac:dyDescent="0.2">
      <c r="A146" s="8" t="s">
        <v>302</v>
      </c>
      <c r="B146" s="8">
        <v>0.20200000000000001</v>
      </c>
      <c r="C146" s="8" t="s">
        <v>598</v>
      </c>
      <c r="D146" s="8" t="s">
        <v>425</v>
      </c>
      <c r="E146" s="8" t="s">
        <v>422</v>
      </c>
      <c r="F146" s="8" t="s">
        <v>525</v>
      </c>
      <c r="G146" s="8" t="s">
        <v>531</v>
      </c>
      <c r="H146" s="8" t="s">
        <v>420</v>
      </c>
      <c r="I146" s="8">
        <v>2</v>
      </c>
      <c r="J146" s="8">
        <v>0.20200000000000001</v>
      </c>
      <c r="K146" s="8" t="s">
        <v>421</v>
      </c>
      <c r="L146" s="8"/>
      <c r="M146" s="8">
        <v>2</v>
      </c>
      <c r="O146" s="8" t="s">
        <v>302</v>
      </c>
      <c r="P146" s="8">
        <v>0.20200000000000001</v>
      </c>
      <c r="Q146" s="8" t="s">
        <v>598</v>
      </c>
      <c r="R146" s="8" t="s">
        <v>659</v>
      </c>
      <c r="S146" s="8" t="s">
        <v>659</v>
      </c>
      <c r="T146" s="8" t="str">
        <f t="shared" si="0"/>
        <v>Y</v>
      </c>
    </row>
    <row r="147" spans="1:20" x14ac:dyDescent="0.2">
      <c r="A147" s="8" t="s">
        <v>139</v>
      </c>
      <c r="B147" s="8">
        <v>0.20600000000000002</v>
      </c>
      <c r="C147" s="8" t="s">
        <v>535</v>
      </c>
      <c r="D147" s="8" t="s">
        <v>425</v>
      </c>
      <c r="E147" s="8" t="s">
        <v>422</v>
      </c>
      <c r="F147" s="8" t="s">
        <v>525</v>
      </c>
      <c r="G147" s="8" t="s">
        <v>531</v>
      </c>
      <c r="H147" s="8" t="s">
        <v>420</v>
      </c>
      <c r="I147" s="8">
        <v>2</v>
      </c>
      <c r="J147" s="8">
        <v>0.20600000000000002</v>
      </c>
      <c r="K147" s="8" t="s">
        <v>421</v>
      </c>
      <c r="L147" s="8"/>
      <c r="M147" s="8">
        <v>2</v>
      </c>
      <c r="O147" s="8" t="s">
        <v>139</v>
      </c>
      <c r="P147" s="8">
        <v>0.20600000000000002</v>
      </c>
      <c r="Q147" s="8" t="s">
        <v>535</v>
      </c>
      <c r="R147" s="8" t="s">
        <v>659</v>
      </c>
      <c r="S147" s="8" t="s">
        <v>659</v>
      </c>
      <c r="T147" s="8" t="str">
        <f t="shared" si="0"/>
        <v>Y</v>
      </c>
    </row>
    <row r="148" spans="1:20" x14ac:dyDescent="0.2">
      <c r="A148" s="8" t="s">
        <v>227</v>
      </c>
      <c r="B148" s="8">
        <v>0.21700000000000003</v>
      </c>
      <c r="C148" s="8" t="s">
        <v>599</v>
      </c>
      <c r="D148" s="8" t="s">
        <v>425</v>
      </c>
      <c r="E148" s="8" t="s">
        <v>422</v>
      </c>
      <c r="F148" s="8" t="s">
        <v>525</v>
      </c>
      <c r="G148" s="8" t="s">
        <v>531</v>
      </c>
      <c r="H148" s="8" t="s">
        <v>420</v>
      </c>
      <c r="I148" s="8">
        <v>2</v>
      </c>
      <c r="J148" s="8">
        <v>0.21700000000000003</v>
      </c>
      <c r="K148" s="8" t="s">
        <v>421</v>
      </c>
      <c r="L148" s="8"/>
      <c r="M148" s="8">
        <v>2</v>
      </c>
      <c r="O148" s="8" t="s">
        <v>227</v>
      </c>
      <c r="P148" s="8">
        <v>0.21700000000000003</v>
      </c>
      <c r="Q148" s="8" t="s">
        <v>599</v>
      </c>
      <c r="R148" s="8" t="s">
        <v>659</v>
      </c>
      <c r="S148" s="8" t="s">
        <v>659</v>
      </c>
      <c r="T148" s="8" t="str">
        <f t="shared" si="0"/>
        <v>Y</v>
      </c>
    </row>
    <row r="149" spans="1:20" x14ac:dyDescent="0.2">
      <c r="A149" s="8" t="s">
        <v>386</v>
      </c>
      <c r="B149" s="8">
        <v>0.22200000000000003</v>
      </c>
      <c r="C149" s="8" t="s">
        <v>600</v>
      </c>
      <c r="D149" s="8" t="s">
        <v>425</v>
      </c>
      <c r="E149" s="8" t="s">
        <v>422</v>
      </c>
      <c r="F149" s="8" t="s">
        <v>525</v>
      </c>
      <c r="G149" s="8" t="s">
        <v>531</v>
      </c>
      <c r="H149" s="8" t="s">
        <v>420</v>
      </c>
      <c r="I149" s="8">
        <v>2</v>
      </c>
      <c r="J149" s="8">
        <v>0.22200000000000003</v>
      </c>
      <c r="K149" s="8" t="s">
        <v>421</v>
      </c>
      <c r="L149" s="8"/>
      <c r="M149" s="8">
        <v>2</v>
      </c>
      <c r="O149" s="8" t="s">
        <v>386</v>
      </c>
      <c r="P149" s="8">
        <v>0.22200000000000003</v>
      </c>
      <c r="Q149" s="8" t="s">
        <v>600</v>
      </c>
      <c r="R149" s="8" t="s">
        <v>659</v>
      </c>
      <c r="S149" s="8" t="s">
        <v>659</v>
      </c>
      <c r="T149" s="8" t="str">
        <f t="shared" si="0"/>
        <v>Y</v>
      </c>
    </row>
    <row r="150" spans="1:20" x14ac:dyDescent="0.2">
      <c r="A150" s="8" t="s">
        <v>57</v>
      </c>
      <c r="B150" s="8">
        <v>0.22400000000000003</v>
      </c>
      <c r="C150" s="8" t="s">
        <v>536</v>
      </c>
      <c r="D150" s="8" t="s">
        <v>425</v>
      </c>
      <c r="E150" s="8" t="s">
        <v>422</v>
      </c>
      <c r="F150" s="8" t="s">
        <v>525</v>
      </c>
      <c r="G150" s="8" t="s">
        <v>531</v>
      </c>
      <c r="H150" s="8" t="s">
        <v>420</v>
      </c>
      <c r="I150" s="8">
        <v>2</v>
      </c>
      <c r="J150" s="8">
        <v>0.22400000000000003</v>
      </c>
      <c r="K150" s="8" t="s">
        <v>421</v>
      </c>
      <c r="L150" s="8"/>
      <c r="M150" s="8">
        <v>2</v>
      </c>
      <c r="O150" s="8" t="s">
        <v>57</v>
      </c>
      <c r="P150" s="8">
        <v>0.22400000000000003</v>
      </c>
      <c r="Q150" s="8" t="s">
        <v>536</v>
      </c>
      <c r="R150" s="8" t="s">
        <v>659</v>
      </c>
      <c r="S150" s="8" t="s">
        <v>659</v>
      </c>
      <c r="T150" s="8" t="str">
        <f t="shared" si="0"/>
        <v>Y</v>
      </c>
    </row>
    <row r="151" spans="1:20" x14ac:dyDescent="0.2">
      <c r="A151" s="8" t="s">
        <v>374</v>
      </c>
      <c r="B151" s="8">
        <v>0.22700000000000004</v>
      </c>
      <c r="C151" s="8" t="s">
        <v>601</v>
      </c>
      <c r="D151" s="8" t="s">
        <v>425</v>
      </c>
      <c r="E151" s="8" t="s">
        <v>422</v>
      </c>
      <c r="F151" s="8" t="s">
        <v>525</v>
      </c>
      <c r="G151" s="8" t="s">
        <v>531</v>
      </c>
      <c r="H151" s="8" t="s">
        <v>420</v>
      </c>
      <c r="I151" s="8">
        <v>2</v>
      </c>
      <c r="J151" s="8">
        <v>0.22700000000000004</v>
      </c>
      <c r="K151" s="8" t="s">
        <v>421</v>
      </c>
      <c r="L151" s="8"/>
      <c r="M151" s="8">
        <v>2</v>
      </c>
      <c r="O151" s="8" t="s">
        <v>374</v>
      </c>
      <c r="P151" s="8">
        <v>0.22700000000000004</v>
      </c>
      <c r="Q151" s="8" t="s">
        <v>601</v>
      </c>
      <c r="R151" s="8" t="s">
        <v>659</v>
      </c>
      <c r="S151" s="8" t="s">
        <v>659</v>
      </c>
      <c r="T151" s="8" t="str">
        <f t="shared" si="0"/>
        <v>Y</v>
      </c>
    </row>
    <row r="152" spans="1:20" x14ac:dyDescent="0.2">
      <c r="A152" s="8" t="s">
        <v>39</v>
      </c>
      <c r="B152" s="8">
        <v>0.27200000000000002</v>
      </c>
      <c r="C152" s="8" t="s">
        <v>537</v>
      </c>
      <c r="D152" s="8" t="s">
        <v>425</v>
      </c>
      <c r="E152" s="8" t="s">
        <v>422</v>
      </c>
      <c r="F152" s="8" t="s">
        <v>525</v>
      </c>
      <c r="G152" s="8" t="s">
        <v>531</v>
      </c>
      <c r="H152" s="8" t="s">
        <v>420</v>
      </c>
      <c r="I152" s="8">
        <v>2</v>
      </c>
      <c r="J152" s="8">
        <v>0.27200000000000002</v>
      </c>
      <c r="K152" s="8" t="s">
        <v>421</v>
      </c>
      <c r="L152" s="8"/>
      <c r="M152" s="8">
        <v>2</v>
      </c>
      <c r="O152" s="8" t="s">
        <v>39</v>
      </c>
      <c r="P152" s="8">
        <v>0.27200000000000002</v>
      </c>
      <c r="Q152" s="8" t="s">
        <v>537</v>
      </c>
      <c r="R152" s="8" t="s">
        <v>659</v>
      </c>
      <c r="S152" s="8" t="s">
        <v>659</v>
      </c>
      <c r="T152" s="8" t="str">
        <f t="shared" si="0"/>
        <v>Y</v>
      </c>
    </row>
    <row r="153" spans="1:20" x14ac:dyDescent="0.2">
      <c r="A153" s="8" t="s">
        <v>51</v>
      </c>
      <c r="B153" s="8">
        <v>0.28300000000000003</v>
      </c>
      <c r="C153" s="8" t="s">
        <v>538</v>
      </c>
      <c r="D153" s="8" t="s">
        <v>425</v>
      </c>
      <c r="E153" s="8" t="s">
        <v>422</v>
      </c>
      <c r="F153" s="8" t="s">
        <v>525</v>
      </c>
      <c r="G153" s="8" t="s">
        <v>531</v>
      </c>
      <c r="H153" s="8" t="s">
        <v>420</v>
      </c>
      <c r="I153" s="8">
        <v>2</v>
      </c>
      <c r="J153" s="8">
        <v>0.28300000000000003</v>
      </c>
      <c r="K153" s="8" t="s">
        <v>421</v>
      </c>
      <c r="L153" s="8"/>
      <c r="M153" s="8">
        <v>2</v>
      </c>
      <c r="O153" s="8" t="s">
        <v>51</v>
      </c>
      <c r="P153" s="8">
        <v>0.28300000000000003</v>
      </c>
      <c r="Q153" s="8" t="s">
        <v>538</v>
      </c>
      <c r="R153" s="8" t="s">
        <v>659</v>
      </c>
      <c r="S153" s="8" t="s">
        <v>659</v>
      </c>
      <c r="T153" s="8" t="str">
        <f t="shared" si="0"/>
        <v>Y</v>
      </c>
    </row>
    <row r="154" spans="1:20" x14ac:dyDescent="0.2">
      <c r="A154" s="8" t="s">
        <v>103</v>
      </c>
      <c r="B154" s="8">
        <v>0.28900000000000003</v>
      </c>
      <c r="C154" s="8" t="s">
        <v>539</v>
      </c>
      <c r="D154" s="8" t="s">
        <v>425</v>
      </c>
      <c r="E154" s="8" t="s">
        <v>422</v>
      </c>
      <c r="F154" s="8" t="s">
        <v>525</v>
      </c>
      <c r="G154" s="8" t="s">
        <v>531</v>
      </c>
      <c r="H154" s="8" t="s">
        <v>420</v>
      </c>
      <c r="I154" s="8">
        <v>2</v>
      </c>
      <c r="J154" s="8">
        <v>0.28900000000000003</v>
      </c>
      <c r="K154" s="8" t="s">
        <v>421</v>
      </c>
      <c r="L154" s="8"/>
      <c r="M154" s="8">
        <v>2</v>
      </c>
      <c r="O154" s="8" t="s">
        <v>103</v>
      </c>
      <c r="P154" s="8">
        <v>0.28900000000000003</v>
      </c>
      <c r="Q154" s="8" t="s">
        <v>539</v>
      </c>
      <c r="R154" s="8" t="s">
        <v>659</v>
      </c>
      <c r="S154" s="8" t="s">
        <v>659</v>
      </c>
      <c r="T154" s="8" t="str">
        <f t="shared" si="0"/>
        <v>Y</v>
      </c>
    </row>
    <row r="155" spans="1:20" x14ac:dyDescent="0.2">
      <c r="A155" s="8" t="s">
        <v>151</v>
      </c>
      <c r="B155" s="8">
        <v>0.308</v>
      </c>
      <c r="C155" s="8" t="s">
        <v>540</v>
      </c>
      <c r="D155" s="8" t="s">
        <v>425</v>
      </c>
      <c r="E155" s="8" t="s">
        <v>422</v>
      </c>
      <c r="F155" s="8" t="s">
        <v>525</v>
      </c>
      <c r="G155" s="8" t="s">
        <v>531</v>
      </c>
      <c r="H155" s="8" t="s">
        <v>420</v>
      </c>
      <c r="I155" s="8">
        <v>2</v>
      </c>
      <c r="J155" s="8">
        <v>0.308</v>
      </c>
      <c r="K155" s="8" t="s">
        <v>421</v>
      </c>
      <c r="L155" s="8"/>
      <c r="M155" s="8">
        <v>2</v>
      </c>
      <c r="O155" s="8" t="s">
        <v>151</v>
      </c>
      <c r="P155" s="8">
        <v>0.308</v>
      </c>
      <c r="Q155" s="8" t="s">
        <v>540</v>
      </c>
      <c r="R155" s="8" t="s">
        <v>659</v>
      </c>
      <c r="S155" s="8" t="s">
        <v>659</v>
      </c>
      <c r="T155" s="8" t="str">
        <f t="shared" si="0"/>
        <v>Y</v>
      </c>
    </row>
    <row r="156" spans="1:20" x14ac:dyDescent="0.2">
      <c r="A156" s="8" t="s">
        <v>115</v>
      </c>
      <c r="B156" s="8">
        <v>0.314</v>
      </c>
      <c r="C156" s="8" t="s">
        <v>541</v>
      </c>
      <c r="D156" s="8" t="s">
        <v>425</v>
      </c>
      <c r="E156" s="8" t="s">
        <v>422</v>
      </c>
      <c r="F156" s="8" t="s">
        <v>525</v>
      </c>
      <c r="G156" s="8" t="s">
        <v>531</v>
      </c>
      <c r="H156" s="8" t="s">
        <v>420</v>
      </c>
      <c r="I156" s="8">
        <v>2</v>
      </c>
      <c r="J156" s="8">
        <v>0.314</v>
      </c>
      <c r="K156" s="8" t="s">
        <v>421</v>
      </c>
      <c r="L156" s="8"/>
      <c r="M156" s="8">
        <v>2</v>
      </c>
      <c r="O156" s="8" t="s">
        <v>115</v>
      </c>
      <c r="P156" s="8">
        <v>0.314</v>
      </c>
      <c r="Q156" s="8" t="s">
        <v>541</v>
      </c>
      <c r="R156" s="8" t="s">
        <v>659</v>
      </c>
      <c r="S156" s="8" t="s">
        <v>659</v>
      </c>
      <c r="T156" s="8" t="str">
        <f t="shared" si="0"/>
        <v>Y</v>
      </c>
    </row>
    <row r="157" spans="1:20" x14ac:dyDescent="0.2">
      <c r="A157" s="8" t="s">
        <v>239</v>
      </c>
      <c r="B157" s="8">
        <v>0.34200000000000003</v>
      </c>
      <c r="C157" s="8" t="s">
        <v>602</v>
      </c>
      <c r="D157" s="8" t="s">
        <v>425</v>
      </c>
      <c r="E157" s="8" t="s">
        <v>422</v>
      </c>
      <c r="F157" s="8" t="s">
        <v>525</v>
      </c>
      <c r="G157" s="8" t="s">
        <v>531</v>
      </c>
      <c r="H157" s="8" t="s">
        <v>420</v>
      </c>
      <c r="I157" s="8">
        <v>2</v>
      </c>
      <c r="J157" s="8">
        <v>0.34200000000000003</v>
      </c>
      <c r="K157" s="8" t="s">
        <v>421</v>
      </c>
      <c r="L157" s="8"/>
      <c r="M157" s="8">
        <v>2</v>
      </c>
      <c r="O157" s="8" t="s">
        <v>239</v>
      </c>
      <c r="P157" s="8">
        <v>0.34200000000000003</v>
      </c>
      <c r="Q157" s="8" t="s">
        <v>602</v>
      </c>
      <c r="R157" s="8" t="s">
        <v>659</v>
      </c>
      <c r="S157" s="8" t="s">
        <v>659</v>
      </c>
      <c r="T157" s="8" t="str">
        <f t="shared" si="0"/>
        <v>Y</v>
      </c>
    </row>
    <row r="158" spans="1:20" x14ac:dyDescent="0.2">
      <c r="A158" s="8" t="s">
        <v>65</v>
      </c>
      <c r="B158" s="8">
        <v>0.35500000000000004</v>
      </c>
      <c r="C158" s="8" t="s">
        <v>542</v>
      </c>
      <c r="D158" s="8" t="s">
        <v>425</v>
      </c>
      <c r="E158" s="8" t="s">
        <v>422</v>
      </c>
      <c r="F158" s="8" t="s">
        <v>525</v>
      </c>
      <c r="G158" s="8" t="s">
        <v>531</v>
      </c>
      <c r="H158" s="8" t="s">
        <v>420</v>
      </c>
      <c r="I158" s="8">
        <v>2</v>
      </c>
      <c r="J158" s="8">
        <v>0.35500000000000004</v>
      </c>
      <c r="K158" s="8" t="s">
        <v>421</v>
      </c>
      <c r="L158" s="8"/>
      <c r="M158" s="8">
        <v>2</v>
      </c>
      <c r="O158" s="8" t="s">
        <v>65</v>
      </c>
      <c r="P158" s="8">
        <v>0.35500000000000004</v>
      </c>
      <c r="Q158" s="8" t="s">
        <v>542</v>
      </c>
      <c r="R158" s="8" t="s">
        <v>659</v>
      </c>
      <c r="S158" s="8" t="s">
        <v>659</v>
      </c>
      <c r="T158" s="8" t="str">
        <f t="shared" si="0"/>
        <v>Y</v>
      </c>
    </row>
    <row r="159" spans="1:20" x14ac:dyDescent="0.2">
      <c r="A159" s="8" t="s">
        <v>181</v>
      </c>
      <c r="B159" s="8">
        <v>0.36100000000000004</v>
      </c>
      <c r="C159" s="8" t="s">
        <v>543</v>
      </c>
      <c r="D159" s="8" t="s">
        <v>425</v>
      </c>
      <c r="E159" s="8" t="s">
        <v>422</v>
      </c>
      <c r="F159" s="8" t="s">
        <v>525</v>
      </c>
      <c r="G159" s="8" t="s">
        <v>531</v>
      </c>
      <c r="H159" s="8" t="s">
        <v>420</v>
      </c>
      <c r="I159" s="8">
        <v>2</v>
      </c>
      <c r="J159" s="8">
        <v>0.36100000000000004</v>
      </c>
      <c r="K159" s="8" t="s">
        <v>421</v>
      </c>
      <c r="L159" s="8"/>
      <c r="M159" s="8">
        <v>2</v>
      </c>
      <c r="O159" s="8" t="s">
        <v>181</v>
      </c>
      <c r="P159" s="8">
        <v>0.36100000000000004</v>
      </c>
      <c r="Q159" s="8" t="s">
        <v>543</v>
      </c>
      <c r="R159" s="8" t="s">
        <v>659</v>
      </c>
      <c r="S159" s="8" t="s">
        <v>659</v>
      </c>
      <c r="T159" s="8" t="str">
        <f t="shared" si="0"/>
        <v>Y</v>
      </c>
    </row>
    <row r="160" spans="1:20" x14ac:dyDescent="0.2">
      <c r="A160" s="8" t="s">
        <v>61</v>
      </c>
      <c r="B160" s="8">
        <v>0.51400000000000001</v>
      </c>
      <c r="C160" s="8" t="s">
        <v>544</v>
      </c>
      <c r="D160" s="8" t="s">
        <v>425</v>
      </c>
      <c r="E160" s="8" t="s">
        <v>422</v>
      </c>
      <c r="F160" s="8" t="s">
        <v>525</v>
      </c>
      <c r="G160" s="8" t="s">
        <v>531</v>
      </c>
      <c r="H160" s="8" t="s">
        <v>420</v>
      </c>
      <c r="I160" s="8">
        <v>2</v>
      </c>
      <c r="J160" s="8">
        <v>0.51400000000000001</v>
      </c>
      <c r="K160" s="8" t="s">
        <v>421</v>
      </c>
      <c r="L160" s="8"/>
      <c r="M160" s="8">
        <v>2</v>
      </c>
      <c r="O160" s="8" t="s">
        <v>61</v>
      </c>
      <c r="P160" s="8">
        <v>0.51400000000000001</v>
      </c>
      <c r="Q160" s="8" t="s">
        <v>544</v>
      </c>
      <c r="R160" s="8" t="s">
        <v>659</v>
      </c>
      <c r="S160" s="8" t="s">
        <v>659</v>
      </c>
      <c r="T160" s="8" t="str">
        <f t="shared" si="0"/>
        <v>Y</v>
      </c>
    </row>
    <row r="161" spans="1:20" x14ac:dyDescent="0.2">
      <c r="A161" s="8" t="s">
        <v>281</v>
      </c>
      <c r="B161" s="8">
        <v>0.55400000000000005</v>
      </c>
      <c r="C161" s="8" t="s">
        <v>603</v>
      </c>
      <c r="D161" s="8" t="s">
        <v>425</v>
      </c>
      <c r="E161" s="8" t="s">
        <v>422</v>
      </c>
      <c r="F161" s="8" t="s">
        <v>525</v>
      </c>
      <c r="G161" s="8" t="s">
        <v>531</v>
      </c>
      <c r="H161" s="8" t="s">
        <v>420</v>
      </c>
      <c r="I161" s="8">
        <v>2</v>
      </c>
      <c r="J161" s="8">
        <v>0.55400000000000005</v>
      </c>
      <c r="K161" s="8" t="s">
        <v>421</v>
      </c>
      <c r="L161" s="8"/>
      <c r="M161" s="8">
        <v>2</v>
      </c>
      <c r="O161" s="8" t="s">
        <v>281</v>
      </c>
      <c r="P161" s="8">
        <v>0.55400000000000005</v>
      </c>
      <c r="Q161" s="8" t="s">
        <v>603</v>
      </c>
      <c r="R161" s="8" t="s">
        <v>659</v>
      </c>
      <c r="S161" s="8" t="s">
        <v>659</v>
      </c>
      <c r="T161" s="8" t="str">
        <f t="shared" si="0"/>
        <v>Y</v>
      </c>
    </row>
    <row r="162" spans="1:20" x14ac:dyDescent="0.2">
      <c r="A162" s="8" t="s">
        <v>341</v>
      </c>
      <c r="B162" s="8">
        <v>0.58699999999999997</v>
      </c>
      <c r="C162" s="8" t="s">
        <v>604</v>
      </c>
      <c r="D162" s="8" t="s">
        <v>425</v>
      </c>
      <c r="E162" s="8" t="s">
        <v>422</v>
      </c>
      <c r="F162" s="8" t="s">
        <v>525</v>
      </c>
      <c r="G162" s="8" t="s">
        <v>531</v>
      </c>
      <c r="H162" s="8" t="s">
        <v>420</v>
      </c>
      <c r="I162" s="8">
        <v>2</v>
      </c>
      <c r="J162" s="8">
        <v>0.58699999999999997</v>
      </c>
      <c r="K162" s="8" t="s">
        <v>421</v>
      </c>
      <c r="L162" s="8"/>
      <c r="M162" s="8">
        <v>2</v>
      </c>
      <c r="O162" s="8" t="s">
        <v>341</v>
      </c>
      <c r="P162" s="8">
        <v>0.58699999999999997</v>
      </c>
      <c r="Q162" s="8" t="s">
        <v>604</v>
      </c>
      <c r="R162" s="8" t="s">
        <v>659</v>
      </c>
      <c r="S162" s="8" t="s">
        <v>659</v>
      </c>
      <c r="T162" s="8" t="str">
        <f t="shared" si="0"/>
        <v>Y</v>
      </c>
    </row>
    <row r="163" spans="1:20" x14ac:dyDescent="0.2">
      <c r="A163" s="8" t="s">
        <v>230</v>
      </c>
      <c r="B163" s="8">
        <v>0.67399999999999993</v>
      </c>
      <c r="C163" s="8" t="s">
        <v>605</v>
      </c>
      <c r="D163" s="8" t="s">
        <v>425</v>
      </c>
      <c r="E163" s="8" t="s">
        <v>422</v>
      </c>
      <c r="F163" s="8" t="s">
        <v>525</v>
      </c>
      <c r="G163" s="8" t="s">
        <v>531</v>
      </c>
      <c r="H163" s="8" t="s">
        <v>420</v>
      </c>
      <c r="I163" s="8">
        <v>2</v>
      </c>
      <c r="J163" s="8">
        <v>0.67399999999999993</v>
      </c>
      <c r="K163" s="8" t="s">
        <v>421</v>
      </c>
      <c r="L163" s="8"/>
      <c r="M163" s="8">
        <v>2</v>
      </c>
      <c r="O163" s="8" t="s">
        <v>230</v>
      </c>
      <c r="P163" s="8">
        <v>0.67399999999999993</v>
      </c>
      <c r="Q163" s="8" t="s">
        <v>605</v>
      </c>
      <c r="R163" s="8" t="s">
        <v>659</v>
      </c>
      <c r="S163" s="8" t="s">
        <v>659</v>
      </c>
      <c r="T163" s="8" t="str">
        <f t="shared" si="0"/>
        <v>Y</v>
      </c>
    </row>
    <row r="164" spans="1:20" x14ac:dyDescent="0.2">
      <c r="A164" s="8" t="s">
        <v>263</v>
      </c>
      <c r="B164" s="8">
        <v>0.89700000000000002</v>
      </c>
      <c r="C164" s="8" t="s">
        <v>606</v>
      </c>
      <c r="D164" s="8" t="s">
        <v>425</v>
      </c>
      <c r="E164" s="8" t="s">
        <v>422</v>
      </c>
      <c r="F164" s="8" t="s">
        <v>525</v>
      </c>
      <c r="G164" s="8" t="s">
        <v>531</v>
      </c>
      <c r="H164" s="8" t="s">
        <v>420</v>
      </c>
      <c r="I164" s="8">
        <v>2</v>
      </c>
      <c r="J164" s="8">
        <v>0.89700000000000002</v>
      </c>
      <c r="K164" s="8" t="s">
        <v>421</v>
      </c>
      <c r="L164" s="8"/>
      <c r="M164" s="8">
        <v>2</v>
      </c>
      <c r="O164" s="8" t="s">
        <v>263</v>
      </c>
      <c r="P164" s="8">
        <v>0.89700000000000002</v>
      </c>
      <c r="Q164" s="8" t="s">
        <v>606</v>
      </c>
      <c r="R164" s="8" t="s">
        <v>659</v>
      </c>
      <c r="S164" s="8" t="s">
        <v>659</v>
      </c>
      <c r="T164" s="8" t="str">
        <f t="shared" si="0"/>
        <v>Y</v>
      </c>
    </row>
    <row r="165" spans="1:20" x14ac:dyDescent="0.2">
      <c r="A165" s="8" t="s">
        <v>80</v>
      </c>
      <c r="B165" s="8">
        <v>1.2569999999999999</v>
      </c>
      <c r="C165" s="8" t="s">
        <v>545</v>
      </c>
      <c r="D165" s="8" t="s">
        <v>425</v>
      </c>
      <c r="E165" s="8" t="s">
        <v>422</v>
      </c>
      <c r="F165" s="8" t="s">
        <v>525</v>
      </c>
      <c r="G165" s="8" t="s">
        <v>531</v>
      </c>
      <c r="H165" s="8" t="s">
        <v>420</v>
      </c>
      <c r="I165" s="8">
        <v>2</v>
      </c>
      <c r="J165" s="8">
        <v>1.2569999999999999</v>
      </c>
      <c r="K165" s="8" t="s">
        <v>421</v>
      </c>
      <c r="L165" s="8"/>
      <c r="M165" s="8">
        <v>2</v>
      </c>
      <c r="O165" s="8" t="s">
        <v>80</v>
      </c>
      <c r="P165" s="8">
        <v>1.2569999999999999</v>
      </c>
      <c r="Q165" s="8" t="s">
        <v>545</v>
      </c>
      <c r="R165" s="8" t="s">
        <v>659</v>
      </c>
      <c r="S165" s="8" t="s">
        <v>659</v>
      </c>
      <c r="T165" s="8" t="str">
        <f t="shared" si="0"/>
        <v>Y</v>
      </c>
    </row>
    <row r="166" spans="1:20" x14ac:dyDescent="0.2">
      <c r="A166" s="8" t="s">
        <v>205</v>
      </c>
      <c r="B166" s="8">
        <v>6.1699999999999998E-2</v>
      </c>
      <c r="C166" s="8" t="s">
        <v>546</v>
      </c>
      <c r="D166" s="8" t="s">
        <v>425</v>
      </c>
      <c r="E166" s="8" t="s">
        <v>422</v>
      </c>
      <c r="F166" s="8" t="s">
        <v>525</v>
      </c>
      <c r="G166" s="8" t="s">
        <v>531</v>
      </c>
      <c r="H166" s="8" t="s">
        <v>420</v>
      </c>
      <c r="I166" s="8">
        <v>2</v>
      </c>
      <c r="J166" s="8">
        <v>6.1699999999999998E-2</v>
      </c>
      <c r="K166" s="8" t="s">
        <v>421</v>
      </c>
      <c r="L166" s="8"/>
      <c r="M166" s="8">
        <v>3</v>
      </c>
      <c r="O166" s="8" t="s">
        <v>205</v>
      </c>
      <c r="P166" s="8">
        <v>6.1699999999999998E-2</v>
      </c>
      <c r="Q166" s="8" t="s">
        <v>546</v>
      </c>
      <c r="R166" s="8" t="s">
        <v>660</v>
      </c>
      <c r="S166" s="8" t="s">
        <v>660</v>
      </c>
      <c r="T166" s="8" t="str">
        <f t="shared" si="0"/>
        <v>Y</v>
      </c>
    </row>
    <row r="167" spans="1:20" x14ac:dyDescent="0.2">
      <c r="A167" s="8" t="s">
        <v>257</v>
      </c>
      <c r="B167" s="8">
        <v>9.6700000000000008E-2</v>
      </c>
      <c r="C167" s="8" t="s">
        <v>607</v>
      </c>
      <c r="D167" s="8" t="s">
        <v>425</v>
      </c>
      <c r="E167" s="8" t="s">
        <v>422</v>
      </c>
      <c r="F167" s="8" t="s">
        <v>525</v>
      </c>
      <c r="G167" s="8" t="s">
        <v>531</v>
      </c>
      <c r="H167" s="8" t="s">
        <v>420</v>
      </c>
      <c r="I167" s="8">
        <v>2</v>
      </c>
      <c r="J167" s="8">
        <v>9.6700000000000008E-2</v>
      </c>
      <c r="K167" s="8" t="s">
        <v>421</v>
      </c>
      <c r="L167" s="8"/>
      <c r="M167" s="8">
        <v>3</v>
      </c>
      <c r="O167" s="8" t="s">
        <v>257</v>
      </c>
      <c r="P167" s="8">
        <v>9.6700000000000008E-2</v>
      </c>
      <c r="Q167" s="8" t="s">
        <v>607</v>
      </c>
      <c r="R167" s="8" t="s">
        <v>660</v>
      </c>
      <c r="S167" s="8" t="s">
        <v>660</v>
      </c>
      <c r="T167" s="8" t="str">
        <f t="shared" si="0"/>
        <v>Y</v>
      </c>
    </row>
    <row r="168" spans="1:20" x14ac:dyDescent="0.2">
      <c r="A168" s="8" t="s">
        <v>371</v>
      </c>
      <c r="B168" s="8">
        <v>0.10170000000000001</v>
      </c>
      <c r="C168" s="8" t="s">
        <v>608</v>
      </c>
      <c r="D168" s="8" t="s">
        <v>425</v>
      </c>
      <c r="E168" s="8" t="s">
        <v>422</v>
      </c>
      <c r="F168" s="8" t="s">
        <v>525</v>
      </c>
      <c r="G168" s="8" t="s">
        <v>531</v>
      </c>
      <c r="H168" s="8" t="s">
        <v>420</v>
      </c>
      <c r="I168" s="8">
        <v>2</v>
      </c>
      <c r="J168" s="8">
        <v>0.10170000000000001</v>
      </c>
      <c r="K168" s="8" t="s">
        <v>421</v>
      </c>
      <c r="L168" s="8"/>
      <c r="M168" s="8">
        <v>3</v>
      </c>
      <c r="O168" s="8" t="s">
        <v>371</v>
      </c>
      <c r="P168" s="8">
        <v>0.10170000000000001</v>
      </c>
      <c r="Q168" s="8" t="s">
        <v>608</v>
      </c>
      <c r="R168" s="8" t="s">
        <v>660</v>
      </c>
      <c r="S168" s="8" t="s">
        <v>660</v>
      </c>
      <c r="T168" s="8" t="str">
        <f t="shared" si="0"/>
        <v>Y</v>
      </c>
    </row>
    <row r="169" spans="1:20" x14ac:dyDescent="0.2">
      <c r="A169" s="8" t="s">
        <v>248</v>
      </c>
      <c r="B169" s="8">
        <v>0.1497</v>
      </c>
      <c r="C169" s="8" t="s">
        <v>609</v>
      </c>
      <c r="D169" s="8" t="s">
        <v>425</v>
      </c>
      <c r="E169" s="8" t="s">
        <v>422</v>
      </c>
      <c r="F169" s="8" t="s">
        <v>525</v>
      </c>
      <c r="G169" s="8" t="s">
        <v>531</v>
      </c>
      <c r="H169" s="8" t="s">
        <v>420</v>
      </c>
      <c r="I169" s="8">
        <v>2</v>
      </c>
      <c r="J169" s="8">
        <v>0.1497</v>
      </c>
      <c r="K169" s="8" t="s">
        <v>421</v>
      </c>
      <c r="L169" s="8"/>
      <c r="M169" s="8">
        <v>3</v>
      </c>
      <c r="O169" s="8" t="s">
        <v>248</v>
      </c>
      <c r="P169" s="8">
        <v>0.1497</v>
      </c>
      <c r="Q169" s="8" t="s">
        <v>609</v>
      </c>
      <c r="R169" s="8" t="s">
        <v>660</v>
      </c>
      <c r="S169" s="8" t="s">
        <v>660</v>
      </c>
      <c r="T169" s="8" t="str">
        <f t="shared" si="0"/>
        <v>Y</v>
      </c>
    </row>
    <row r="170" spans="1:20" x14ac:dyDescent="0.2">
      <c r="A170" s="8" t="s">
        <v>121</v>
      </c>
      <c r="B170" s="8">
        <v>0.16670000000000001</v>
      </c>
      <c r="C170" s="8" t="s">
        <v>547</v>
      </c>
      <c r="D170" s="8" t="s">
        <v>425</v>
      </c>
      <c r="E170" s="8" t="s">
        <v>422</v>
      </c>
      <c r="F170" s="8" t="s">
        <v>525</v>
      </c>
      <c r="G170" s="8" t="s">
        <v>531</v>
      </c>
      <c r="H170" s="8" t="s">
        <v>420</v>
      </c>
      <c r="I170" s="8">
        <v>2</v>
      </c>
      <c r="J170" s="8">
        <v>0.16670000000000001</v>
      </c>
      <c r="K170" s="8" t="s">
        <v>421</v>
      </c>
      <c r="L170" s="8"/>
      <c r="M170" s="8">
        <v>3</v>
      </c>
      <c r="O170" s="8" t="s">
        <v>121</v>
      </c>
      <c r="P170" s="8">
        <v>0.16670000000000001</v>
      </c>
      <c r="Q170" s="8" t="s">
        <v>547</v>
      </c>
      <c r="R170" s="8" t="s">
        <v>659</v>
      </c>
      <c r="S170" s="8" t="s">
        <v>659</v>
      </c>
      <c r="T170" s="8" t="str">
        <f t="shared" si="0"/>
        <v>Y</v>
      </c>
    </row>
    <row r="171" spans="1:20" x14ac:dyDescent="0.2">
      <c r="A171" s="8" t="s">
        <v>178</v>
      </c>
      <c r="B171" s="8">
        <v>0.1787</v>
      </c>
      <c r="C171" s="8" t="s">
        <v>548</v>
      </c>
      <c r="D171" s="8" t="s">
        <v>425</v>
      </c>
      <c r="E171" s="8" t="s">
        <v>422</v>
      </c>
      <c r="F171" s="8" t="s">
        <v>525</v>
      </c>
      <c r="G171" s="8" t="s">
        <v>531</v>
      </c>
      <c r="H171" s="8" t="s">
        <v>420</v>
      </c>
      <c r="I171" s="8">
        <v>2</v>
      </c>
      <c r="J171" s="8">
        <v>0.1787</v>
      </c>
      <c r="K171" s="8" t="s">
        <v>421</v>
      </c>
      <c r="L171" s="8"/>
      <c r="M171" s="8">
        <v>3</v>
      </c>
      <c r="O171" s="8" t="s">
        <v>178</v>
      </c>
      <c r="P171" s="8">
        <v>0.1787</v>
      </c>
      <c r="Q171" s="8" t="s">
        <v>548</v>
      </c>
      <c r="R171" s="8" t="s">
        <v>659</v>
      </c>
      <c r="S171" s="8" t="s">
        <v>659</v>
      </c>
      <c r="T171" s="8" t="str">
        <f t="shared" si="0"/>
        <v>Y</v>
      </c>
    </row>
    <row r="172" spans="1:20" x14ac:dyDescent="0.2">
      <c r="A172" s="8" t="s">
        <v>383</v>
      </c>
      <c r="B172" s="8">
        <v>0.1817</v>
      </c>
      <c r="C172" s="8" t="s">
        <v>610</v>
      </c>
      <c r="D172" s="8" t="s">
        <v>425</v>
      </c>
      <c r="E172" s="8" t="s">
        <v>422</v>
      </c>
      <c r="F172" s="8" t="s">
        <v>525</v>
      </c>
      <c r="G172" s="8" t="s">
        <v>531</v>
      </c>
      <c r="H172" s="8" t="s">
        <v>420</v>
      </c>
      <c r="I172" s="8">
        <v>2</v>
      </c>
      <c r="J172" s="8">
        <v>0.1817</v>
      </c>
      <c r="K172" s="8" t="s">
        <v>421</v>
      </c>
      <c r="L172" s="8"/>
      <c r="M172" s="8">
        <v>3</v>
      </c>
      <c r="O172" s="8" t="s">
        <v>383</v>
      </c>
      <c r="P172" s="8">
        <v>0.1817</v>
      </c>
      <c r="Q172" s="8" t="s">
        <v>610</v>
      </c>
      <c r="R172" s="8" t="s">
        <v>659</v>
      </c>
      <c r="S172" s="8" t="s">
        <v>659</v>
      </c>
      <c r="T172" s="8" t="str">
        <f t="shared" si="0"/>
        <v>Y</v>
      </c>
    </row>
    <row r="173" spans="1:20" x14ac:dyDescent="0.2">
      <c r="A173" s="8" t="s">
        <v>142</v>
      </c>
      <c r="B173" s="8">
        <v>0.23269999999999999</v>
      </c>
      <c r="C173" s="8" t="s">
        <v>549</v>
      </c>
      <c r="D173" s="8" t="s">
        <v>425</v>
      </c>
      <c r="E173" s="8" t="s">
        <v>422</v>
      </c>
      <c r="F173" s="8" t="s">
        <v>525</v>
      </c>
      <c r="G173" s="8" t="s">
        <v>531</v>
      </c>
      <c r="H173" s="8" t="s">
        <v>420</v>
      </c>
      <c r="I173" s="8">
        <v>2</v>
      </c>
      <c r="J173" s="8">
        <v>0.23269999999999999</v>
      </c>
      <c r="K173" s="8" t="s">
        <v>421</v>
      </c>
      <c r="L173" s="8"/>
      <c r="M173" s="8">
        <v>3</v>
      </c>
      <c r="O173" s="8" t="s">
        <v>142</v>
      </c>
      <c r="P173" s="8">
        <v>0.23269999999999999</v>
      </c>
      <c r="Q173" s="8" t="s">
        <v>549</v>
      </c>
      <c r="R173" s="8" t="s">
        <v>660</v>
      </c>
      <c r="S173" s="8" t="s">
        <v>659</v>
      </c>
      <c r="T173" s="8" t="str">
        <f t="shared" si="0"/>
        <v>Y</v>
      </c>
    </row>
    <row r="174" spans="1:20" x14ac:dyDescent="0.2">
      <c r="A174" s="8" t="s">
        <v>69</v>
      </c>
      <c r="B174" s="8">
        <v>0.2417</v>
      </c>
      <c r="C174" s="8" t="s">
        <v>550</v>
      </c>
      <c r="D174" s="8" t="s">
        <v>425</v>
      </c>
      <c r="E174" s="8" t="s">
        <v>422</v>
      </c>
      <c r="F174" s="8" t="s">
        <v>525</v>
      </c>
      <c r="G174" s="8" t="s">
        <v>531</v>
      </c>
      <c r="H174" s="8" t="s">
        <v>420</v>
      </c>
      <c r="I174" s="8">
        <v>2</v>
      </c>
      <c r="J174" s="8">
        <v>0.2417</v>
      </c>
      <c r="K174" s="8" t="s">
        <v>421</v>
      </c>
      <c r="L174" s="8"/>
      <c r="M174" s="8">
        <v>3</v>
      </c>
      <c r="O174" s="8" t="s">
        <v>69</v>
      </c>
      <c r="P174" s="8">
        <v>0.2417</v>
      </c>
      <c r="Q174" s="8" t="s">
        <v>550</v>
      </c>
      <c r="R174" s="8" t="s">
        <v>659</v>
      </c>
      <c r="S174" s="8" t="s">
        <v>659</v>
      </c>
      <c r="T174" s="8" t="str">
        <f t="shared" si="0"/>
        <v>Y</v>
      </c>
    </row>
    <row r="175" spans="1:20" x14ac:dyDescent="0.2">
      <c r="A175" s="8" t="s">
        <v>45</v>
      </c>
      <c r="B175" s="8">
        <v>0.2487</v>
      </c>
      <c r="C175" s="8" t="s">
        <v>551</v>
      </c>
      <c r="D175" s="8" t="s">
        <v>425</v>
      </c>
      <c r="E175" s="8" t="s">
        <v>422</v>
      </c>
      <c r="F175" s="8" t="s">
        <v>525</v>
      </c>
      <c r="G175" s="8" t="s">
        <v>531</v>
      </c>
      <c r="H175" s="8" t="s">
        <v>420</v>
      </c>
      <c r="I175" s="8">
        <v>2</v>
      </c>
      <c r="J175" s="8">
        <v>0.2487</v>
      </c>
      <c r="K175" s="8" t="s">
        <v>421</v>
      </c>
      <c r="L175" s="8"/>
      <c r="M175" s="8">
        <v>3</v>
      </c>
      <c r="O175" s="8" t="s">
        <v>45</v>
      </c>
      <c r="P175" s="8">
        <v>0.2487</v>
      </c>
      <c r="Q175" s="8" t="s">
        <v>551</v>
      </c>
      <c r="R175" s="8" t="s">
        <v>659</v>
      </c>
      <c r="S175" s="8" t="s">
        <v>660</v>
      </c>
      <c r="T175" s="8" t="str">
        <f t="shared" si="0"/>
        <v>N</v>
      </c>
    </row>
    <row r="176" spans="1:20" x14ac:dyDescent="0.2">
      <c r="A176" s="8" t="s">
        <v>133</v>
      </c>
      <c r="B176" s="8">
        <v>0.25069999999999998</v>
      </c>
      <c r="C176" s="8" t="s">
        <v>552</v>
      </c>
      <c r="D176" s="8" t="s">
        <v>425</v>
      </c>
      <c r="E176" s="8" t="s">
        <v>422</v>
      </c>
      <c r="F176" s="8" t="s">
        <v>525</v>
      </c>
      <c r="G176" s="8" t="s">
        <v>531</v>
      </c>
      <c r="H176" s="8" t="s">
        <v>420</v>
      </c>
      <c r="I176" s="8">
        <v>2</v>
      </c>
      <c r="J176" s="8">
        <v>0.25069999999999998</v>
      </c>
      <c r="K176" s="8" t="s">
        <v>421</v>
      </c>
      <c r="L176" s="8"/>
      <c r="M176" s="8">
        <v>3</v>
      </c>
      <c r="O176" s="8" t="s">
        <v>133</v>
      </c>
      <c r="P176" s="8">
        <v>0.25069999999999998</v>
      </c>
      <c r="Q176" s="8" t="s">
        <v>552</v>
      </c>
      <c r="R176" s="8" t="s">
        <v>659</v>
      </c>
      <c r="S176" s="8" t="s">
        <v>659</v>
      </c>
      <c r="T176" s="8" t="str">
        <f t="shared" si="0"/>
        <v>Y</v>
      </c>
    </row>
    <row r="177" spans="1:20" x14ac:dyDescent="0.2">
      <c r="A177" s="8" t="s">
        <v>94</v>
      </c>
      <c r="B177" s="8">
        <v>0.30369999999999997</v>
      </c>
      <c r="C177" s="8" t="s">
        <v>553</v>
      </c>
      <c r="D177" s="8" t="s">
        <v>425</v>
      </c>
      <c r="E177" s="8" t="s">
        <v>422</v>
      </c>
      <c r="F177" s="8" t="s">
        <v>525</v>
      </c>
      <c r="G177" s="8" t="s">
        <v>531</v>
      </c>
      <c r="H177" s="8" t="s">
        <v>420</v>
      </c>
      <c r="I177" s="8">
        <v>2</v>
      </c>
      <c r="J177" s="8">
        <v>0.30369999999999997</v>
      </c>
      <c r="K177" s="8" t="s">
        <v>421</v>
      </c>
      <c r="L177" s="8"/>
      <c r="M177" s="8">
        <v>3</v>
      </c>
      <c r="O177" s="8" t="s">
        <v>94</v>
      </c>
      <c r="P177" s="8">
        <v>0.30369999999999997</v>
      </c>
      <c r="Q177" s="8" t="s">
        <v>553</v>
      </c>
      <c r="R177" s="8" t="s">
        <v>659</v>
      </c>
      <c r="S177" s="8" t="s">
        <v>660</v>
      </c>
      <c r="T177" s="8" t="str">
        <f t="shared" si="0"/>
        <v>N</v>
      </c>
    </row>
    <row r="178" spans="1:20" x14ac:dyDescent="0.2">
      <c r="A178" s="8" t="s">
        <v>320</v>
      </c>
      <c r="B178" s="8">
        <v>0.30669999999999997</v>
      </c>
      <c r="C178" s="8" t="s">
        <v>611</v>
      </c>
      <c r="D178" s="8" t="s">
        <v>425</v>
      </c>
      <c r="E178" s="8" t="s">
        <v>422</v>
      </c>
      <c r="F178" s="8" t="s">
        <v>525</v>
      </c>
      <c r="G178" s="8" t="s">
        <v>531</v>
      </c>
      <c r="H178" s="8" t="s">
        <v>420</v>
      </c>
      <c r="I178" s="8">
        <v>2</v>
      </c>
      <c r="J178" s="8">
        <v>0.30669999999999997</v>
      </c>
      <c r="K178" s="8" t="s">
        <v>421</v>
      </c>
      <c r="L178" s="8"/>
      <c r="M178" s="8">
        <v>3</v>
      </c>
      <c r="O178" s="8" t="s">
        <v>320</v>
      </c>
      <c r="P178" s="8">
        <v>0.30669999999999997</v>
      </c>
      <c r="Q178" s="8" t="s">
        <v>611</v>
      </c>
      <c r="R178" s="8" t="s">
        <v>660</v>
      </c>
      <c r="S178" s="8" t="s">
        <v>659</v>
      </c>
      <c r="T178" s="8" t="str">
        <f t="shared" si="0"/>
        <v>Y</v>
      </c>
    </row>
    <row r="179" spans="1:20" x14ac:dyDescent="0.2">
      <c r="A179" s="8" t="s">
        <v>145</v>
      </c>
      <c r="B179" s="8">
        <v>0.30969999999999998</v>
      </c>
      <c r="C179" s="8" t="s">
        <v>554</v>
      </c>
      <c r="D179" s="8" t="s">
        <v>425</v>
      </c>
      <c r="E179" s="8" t="s">
        <v>422</v>
      </c>
      <c r="F179" s="8" t="s">
        <v>525</v>
      </c>
      <c r="G179" s="8" t="s">
        <v>531</v>
      </c>
      <c r="H179" s="8" t="s">
        <v>420</v>
      </c>
      <c r="I179" s="8">
        <v>2</v>
      </c>
      <c r="J179" s="8">
        <v>0.30969999999999998</v>
      </c>
      <c r="K179" s="8" t="s">
        <v>421</v>
      </c>
      <c r="L179" s="8"/>
      <c r="M179" s="8">
        <v>3</v>
      </c>
      <c r="O179" s="8" t="s">
        <v>145</v>
      </c>
      <c r="P179" s="8">
        <v>0.30969999999999998</v>
      </c>
      <c r="Q179" s="8" t="s">
        <v>554</v>
      </c>
      <c r="R179" s="8" t="s">
        <v>659</v>
      </c>
      <c r="S179" s="8" t="s">
        <v>659</v>
      </c>
      <c r="T179" s="8" t="str">
        <f t="shared" si="0"/>
        <v>Y</v>
      </c>
    </row>
    <row r="180" spans="1:20" x14ac:dyDescent="0.2">
      <c r="A180" s="8" t="s">
        <v>260</v>
      </c>
      <c r="B180" s="8">
        <v>0.35669999999999996</v>
      </c>
      <c r="C180" s="8" t="s">
        <v>612</v>
      </c>
      <c r="D180" s="8" t="s">
        <v>425</v>
      </c>
      <c r="E180" s="8" t="s">
        <v>422</v>
      </c>
      <c r="F180" s="8" t="s">
        <v>525</v>
      </c>
      <c r="G180" s="8" t="s">
        <v>531</v>
      </c>
      <c r="H180" s="8" t="s">
        <v>420</v>
      </c>
      <c r="I180" s="8">
        <v>2</v>
      </c>
      <c r="J180" s="8">
        <v>0.35669999999999996</v>
      </c>
      <c r="K180" s="8" t="s">
        <v>421</v>
      </c>
      <c r="L180" s="8"/>
      <c r="M180" s="8">
        <v>3</v>
      </c>
      <c r="O180" s="8" t="s">
        <v>260</v>
      </c>
      <c r="P180" s="8">
        <v>0.35669999999999996</v>
      </c>
      <c r="Q180" s="8" t="s">
        <v>612</v>
      </c>
      <c r="R180" s="8" t="s">
        <v>659</v>
      </c>
      <c r="S180" s="8" t="s">
        <v>659</v>
      </c>
      <c r="T180" s="8" t="str">
        <f t="shared" si="0"/>
        <v>Y</v>
      </c>
    </row>
    <row r="181" spans="1:20" x14ac:dyDescent="0.2">
      <c r="A181" s="8" t="s">
        <v>10</v>
      </c>
      <c r="B181" s="8">
        <v>0.44569999999999999</v>
      </c>
      <c r="C181" s="8" t="s">
        <v>555</v>
      </c>
      <c r="D181" s="8" t="s">
        <v>425</v>
      </c>
      <c r="E181" s="8" t="s">
        <v>422</v>
      </c>
      <c r="F181" s="8" t="s">
        <v>525</v>
      </c>
      <c r="G181" s="8" t="s">
        <v>531</v>
      </c>
      <c r="H181" s="8" t="s">
        <v>420</v>
      </c>
      <c r="I181" s="8">
        <v>2</v>
      </c>
      <c r="J181" s="8">
        <v>0.44569999999999999</v>
      </c>
      <c r="K181" s="8" t="s">
        <v>421</v>
      </c>
      <c r="L181" s="8"/>
      <c r="M181" s="8">
        <v>3</v>
      </c>
      <c r="O181" s="8" t="s">
        <v>10</v>
      </c>
      <c r="P181" s="8">
        <v>0.44569999999999999</v>
      </c>
      <c r="Q181" s="8" t="s">
        <v>555</v>
      </c>
      <c r="R181" s="8" t="s">
        <v>659</v>
      </c>
      <c r="S181" s="8" t="s">
        <v>659</v>
      </c>
      <c r="T181" s="8" t="str">
        <f t="shared" si="0"/>
        <v>Y</v>
      </c>
    </row>
    <row r="182" spans="1:20" x14ac:dyDescent="0.2">
      <c r="A182" s="8" t="s">
        <v>33</v>
      </c>
      <c r="B182" s="8">
        <v>0.4607</v>
      </c>
      <c r="C182" s="8" t="s">
        <v>556</v>
      </c>
      <c r="D182" s="8" t="s">
        <v>425</v>
      </c>
      <c r="E182" s="8" t="s">
        <v>422</v>
      </c>
      <c r="F182" s="8" t="s">
        <v>525</v>
      </c>
      <c r="G182" s="8" t="s">
        <v>531</v>
      </c>
      <c r="H182" s="8" t="s">
        <v>420</v>
      </c>
      <c r="I182" s="8">
        <v>2</v>
      </c>
      <c r="J182" s="8">
        <v>0.4607</v>
      </c>
      <c r="K182" s="8" t="s">
        <v>421</v>
      </c>
      <c r="L182" s="8"/>
      <c r="M182" s="8">
        <v>3</v>
      </c>
      <c r="O182" s="8" t="s">
        <v>33</v>
      </c>
      <c r="P182" s="8">
        <v>0.4607</v>
      </c>
      <c r="Q182" s="8" t="s">
        <v>556</v>
      </c>
      <c r="R182" s="8" t="s">
        <v>659</v>
      </c>
      <c r="S182" s="8" t="s">
        <v>659</v>
      </c>
      <c r="T182" s="8" t="str">
        <f t="shared" si="0"/>
        <v>Y</v>
      </c>
    </row>
    <row r="183" spans="1:20" x14ac:dyDescent="0.2">
      <c r="A183" s="8" t="s">
        <v>73</v>
      </c>
      <c r="B183" s="8">
        <v>0.4667</v>
      </c>
      <c r="C183" s="8" t="s">
        <v>557</v>
      </c>
      <c r="D183" s="8" t="s">
        <v>425</v>
      </c>
      <c r="E183" s="8" t="s">
        <v>422</v>
      </c>
      <c r="F183" s="8" t="s">
        <v>525</v>
      </c>
      <c r="G183" s="8" t="s">
        <v>531</v>
      </c>
      <c r="H183" s="8" t="s">
        <v>420</v>
      </c>
      <c r="I183" s="8">
        <v>2</v>
      </c>
      <c r="J183" s="8">
        <v>0.4667</v>
      </c>
      <c r="K183" s="8" t="s">
        <v>421</v>
      </c>
      <c r="L183" s="8"/>
      <c r="M183" s="8">
        <v>3</v>
      </c>
      <c r="O183" s="8" t="s">
        <v>73</v>
      </c>
      <c r="P183" s="8">
        <v>0.4667</v>
      </c>
      <c r="Q183" s="8" t="s">
        <v>557</v>
      </c>
      <c r="R183" s="8" t="s">
        <v>659</v>
      </c>
      <c r="S183" s="8" t="s">
        <v>659</v>
      </c>
      <c r="T183" s="8" t="str">
        <f t="shared" si="0"/>
        <v>Y</v>
      </c>
    </row>
    <row r="184" spans="1:20" x14ac:dyDescent="0.2">
      <c r="A184" s="8" t="s">
        <v>317</v>
      </c>
      <c r="B184" s="8">
        <v>0.52369999999999994</v>
      </c>
      <c r="C184" s="8" t="s">
        <v>613</v>
      </c>
      <c r="D184" s="8" t="s">
        <v>425</v>
      </c>
      <c r="E184" s="8" t="s">
        <v>422</v>
      </c>
      <c r="F184" s="8" t="s">
        <v>525</v>
      </c>
      <c r="G184" s="8" t="s">
        <v>531</v>
      </c>
      <c r="H184" s="8" t="s">
        <v>420</v>
      </c>
      <c r="I184" s="8">
        <v>2</v>
      </c>
      <c r="J184" s="8">
        <v>0.52369999999999994</v>
      </c>
      <c r="K184" s="8" t="s">
        <v>421</v>
      </c>
      <c r="L184" s="8"/>
      <c r="M184" s="8">
        <v>3</v>
      </c>
      <c r="O184" s="8" t="s">
        <v>317</v>
      </c>
      <c r="P184" s="8">
        <v>0.52369999999999994</v>
      </c>
      <c r="Q184" s="8" t="s">
        <v>613</v>
      </c>
      <c r="R184" s="8" t="s">
        <v>659</v>
      </c>
      <c r="S184" s="8" t="s">
        <v>659</v>
      </c>
      <c r="T184" s="8" t="str">
        <f t="shared" si="0"/>
        <v>Y</v>
      </c>
    </row>
    <row r="185" spans="1:20" x14ac:dyDescent="0.2">
      <c r="A185" s="8" t="s">
        <v>323</v>
      </c>
      <c r="B185" s="8">
        <v>0.65169999999999995</v>
      </c>
      <c r="C185" s="8" t="s">
        <v>614</v>
      </c>
      <c r="D185" s="8" t="s">
        <v>425</v>
      </c>
      <c r="E185" s="8" t="s">
        <v>422</v>
      </c>
      <c r="F185" s="8" t="s">
        <v>525</v>
      </c>
      <c r="G185" s="8" t="s">
        <v>531</v>
      </c>
      <c r="H185" s="8" t="s">
        <v>420</v>
      </c>
      <c r="I185" s="8">
        <v>2</v>
      </c>
      <c r="J185" s="8">
        <v>0.65169999999999995</v>
      </c>
      <c r="K185" s="8" t="s">
        <v>421</v>
      </c>
      <c r="L185" s="8"/>
      <c r="M185" s="8">
        <v>3</v>
      </c>
      <c r="O185" s="8" t="s">
        <v>323</v>
      </c>
      <c r="P185" s="8">
        <v>0.65169999999999995</v>
      </c>
      <c r="Q185" s="8" t="s">
        <v>614</v>
      </c>
      <c r="R185" s="8" t="s">
        <v>659</v>
      </c>
      <c r="S185" s="8" t="s">
        <v>659</v>
      </c>
      <c r="T185" s="8" t="str">
        <f t="shared" si="0"/>
        <v>Y</v>
      </c>
    </row>
    <row r="186" spans="1:20" x14ac:dyDescent="0.2">
      <c r="A186" s="8" t="s">
        <v>293</v>
      </c>
      <c r="B186" s="8">
        <v>0.85170000000000001</v>
      </c>
      <c r="C186" s="8" t="s">
        <v>615</v>
      </c>
      <c r="D186" s="8" t="s">
        <v>425</v>
      </c>
      <c r="E186" s="8" t="s">
        <v>422</v>
      </c>
      <c r="F186" s="8" t="s">
        <v>525</v>
      </c>
      <c r="G186" s="8" t="s">
        <v>531</v>
      </c>
      <c r="H186" s="8" t="s">
        <v>420</v>
      </c>
      <c r="I186" s="8">
        <v>2</v>
      </c>
      <c r="J186" s="8">
        <v>0.85170000000000001</v>
      </c>
      <c r="K186" s="8" t="s">
        <v>421</v>
      </c>
      <c r="L186" s="8"/>
      <c r="M186" s="8">
        <v>3</v>
      </c>
      <c r="O186" s="8" t="s">
        <v>293</v>
      </c>
      <c r="P186" s="8">
        <v>0.85170000000000001</v>
      </c>
      <c r="Q186" s="8" t="s">
        <v>615</v>
      </c>
      <c r="R186" s="8" t="s">
        <v>660</v>
      </c>
      <c r="S186" s="8" t="s">
        <v>659</v>
      </c>
      <c r="T186" s="8" t="str">
        <f t="shared" si="0"/>
        <v>Y</v>
      </c>
    </row>
    <row r="187" spans="1:20" x14ac:dyDescent="0.2">
      <c r="A187" s="8" t="s">
        <v>190</v>
      </c>
      <c r="B187" s="8">
        <v>0.94869999999999999</v>
      </c>
      <c r="C187" s="8" t="s">
        <v>558</v>
      </c>
      <c r="D187" s="8" t="s">
        <v>425</v>
      </c>
      <c r="E187" s="8" t="s">
        <v>422</v>
      </c>
      <c r="F187" s="8" t="s">
        <v>525</v>
      </c>
      <c r="G187" s="8" t="s">
        <v>531</v>
      </c>
      <c r="H187" s="8" t="s">
        <v>420</v>
      </c>
      <c r="I187" s="8">
        <v>2</v>
      </c>
      <c r="J187" s="8">
        <v>0.94869999999999999</v>
      </c>
      <c r="K187" s="8" t="s">
        <v>421</v>
      </c>
      <c r="L187" s="8"/>
      <c r="M187" s="8">
        <v>3</v>
      </c>
      <c r="O187" s="8" t="s">
        <v>190</v>
      </c>
      <c r="P187" s="8">
        <v>0.94869999999999999</v>
      </c>
      <c r="Q187" s="8" t="s">
        <v>558</v>
      </c>
      <c r="R187" s="8" t="s">
        <v>659</v>
      </c>
      <c r="S187" s="8" t="s">
        <v>659</v>
      </c>
      <c r="T187" s="8" t="str">
        <f t="shared" si="0"/>
        <v>Y</v>
      </c>
    </row>
    <row r="188" spans="1:20" x14ac:dyDescent="0.2">
      <c r="A188" s="8" t="s">
        <v>326</v>
      </c>
      <c r="B188" s="8">
        <v>1.0687</v>
      </c>
      <c r="C188" s="8" t="s">
        <v>616</v>
      </c>
      <c r="D188" s="8" t="s">
        <v>425</v>
      </c>
      <c r="E188" s="8" t="s">
        <v>422</v>
      </c>
      <c r="F188" s="8" t="s">
        <v>525</v>
      </c>
      <c r="G188" s="8" t="s">
        <v>531</v>
      </c>
      <c r="H188" s="8" t="s">
        <v>420</v>
      </c>
      <c r="I188" s="8">
        <v>2</v>
      </c>
      <c r="J188" s="8">
        <v>1.0687</v>
      </c>
      <c r="K188" s="8" t="s">
        <v>421</v>
      </c>
      <c r="L188" s="8"/>
      <c r="M188" s="8">
        <v>3</v>
      </c>
      <c r="O188" s="8" t="s">
        <v>326</v>
      </c>
      <c r="P188" s="8">
        <v>1.0687</v>
      </c>
      <c r="Q188" s="8" t="s">
        <v>616</v>
      </c>
      <c r="R188" s="8" t="s">
        <v>659</v>
      </c>
      <c r="S188" s="8" t="s">
        <v>659</v>
      </c>
      <c r="T188" s="8" t="str">
        <f t="shared" si="0"/>
        <v>Y</v>
      </c>
    </row>
    <row r="189" spans="1:20" x14ac:dyDescent="0.2">
      <c r="A189" s="8" t="s">
        <v>290</v>
      </c>
      <c r="B189" s="8">
        <v>0</v>
      </c>
      <c r="C189" s="8" t="s">
        <v>617</v>
      </c>
      <c r="D189" s="8" t="s">
        <v>425</v>
      </c>
      <c r="E189" s="8" t="s">
        <v>422</v>
      </c>
      <c r="F189" s="8" t="s">
        <v>525</v>
      </c>
      <c r="G189" s="8" t="s">
        <v>531</v>
      </c>
      <c r="H189" s="8" t="s">
        <v>420</v>
      </c>
      <c r="I189" s="8">
        <v>2</v>
      </c>
      <c r="J189" s="8">
        <v>0</v>
      </c>
      <c r="K189" s="8" t="s">
        <v>421</v>
      </c>
      <c r="L189" s="8"/>
      <c r="M189" s="8">
        <v>4</v>
      </c>
      <c r="O189" s="8" t="s">
        <v>290</v>
      </c>
      <c r="P189" s="8">
        <v>0</v>
      </c>
      <c r="Q189" s="8" t="s">
        <v>617</v>
      </c>
      <c r="R189" s="8" t="s">
        <v>660</v>
      </c>
      <c r="S189" s="8" t="s">
        <v>659</v>
      </c>
      <c r="T189" s="8" t="str">
        <f t="shared" si="0"/>
        <v>Y</v>
      </c>
    </row>
    <row r="190" spans="1:20" x14ac:dyDescent="0.2">
      <c r="A190" s="8" t="s">
        <v>53</v>
      </c>
      <c r="B190" s="8">
        <v>0.11169999999999999</v>
      </c>
      <c r="C190" s="8" t="s">
        <v>559</v>
      </c>
      <c r="D190" s="8" t="s">
        <v>425</v>
      </c>
      <c r="E190" s="8" t="s">
        <v>422</v>
      </c>
      <c r="F190" s="8" t="s">
        <v>525</v>
      </c>
      <c r="G190" s="8" t="s">
        <v>531</v>
      </c>
      <c r="H190" s="8" t="s">
        <v>420</v>
      </c>
      <c r="I190" s="8">
        <v>2</v>
      </c>
      <c r="J190" s="8">
        <v>0.11169999999999999</v>
      </c>
      <c r="K190" s="8" t="s">
        <v>421</v>
      </c>
      <c r="L190" s="8"/>
      <c r="M190" s="8">
        <v>4</v>
      </c>
      <c r="O190" s="8" t="s">
        <v>53</v>
      </c>
      <c r="P190" s="8">
        <v>0.11169999999999999</v>
      </c>
      <c r="Q190" s="8" t="s">
        <v>559</v>
      </c>
      <c r="R190" s="8" t="s">
        <v>660</v>
      </c>
      <c r="S190" s="8" t="s">
        <v>659</v>
      </c>
      <c r="T190" s="8" t="str">
        <f t="shared" si="0"/>
        <v>Y</v>
      </c>
    </row>
    <row r="191" spans="1:20" x14ac:dyDescent="0.2">
      <c r="A191" s="8" t="s">
        <v>350</v>
      </c>
      <c r="B191" s="8">
        <v>0.13770000000000002</v>
      </c>
      <c r="C191" s="8" t="s">
        <v>618</v>
      </c>
      <c r="D191" s="8" t="s">
        <v>425</v>
      </c>
      <c r="E191" s="8" t="s">
        <v>422</v>
      </c>
      <c r="F191" s="8" t="s">
        <v>525</v>
      </c>
      <c r="G191" s="8" t="s">
        <v>531</v>
      </c>
      <c r="H191" s="8" t="s">
        <v>420</v>
      </c>
      <c r="I191" s="8">
        <v>2</v>
      </c>
      <c r="J191" s="8">
        <v>0.13770000000000002</v>
      </c>
      <c r="K191" s="8" t="s">
        <v>421</v>
      </c>
      <c r="L191" s="8"/>
      <c r="M191" s="8">
        <v>4</v>
      </c>
      <c r="O191" s="8" t="s">
        <v>350</v>
      </c>
      <c r="P191" s="8">
        <v>0.13770000000000002</v>
      </c>
      <c r="Q191" s="8" t="s">
        <v>618</v>
      </c>
      <c r="R191" s="8" t="s">
        <v>659</v>
      </c>
      <c r="S191" s="8" t="s">
        <v>661</v>
      </c>
      <c r="T191" s="8" t="str">
        <f t="shared" si="0"/>
        <v>Y</v>
      </c>
    </row>
    <row r="192" spans="1:20" x14ac:dyDescent="0.2">
      <c r="A192" s="8" t="s">
        <v>59</v>
      </c>
      <c r="B192" s="8">
        <v>0.15570000000000001</v>
      </c>
      <c r="C192" s="8" t="s">
        <v>560</v>
      </c>
      <c r="D192" s="8" t="s">
        <v>425</v>
      </c>
      <c r="E192" s="8" t="s">
        <v>422</v>
      </c>
      <c r="F192" s="8" t="s">
        <v>525</v>
      </c>
      <c r="G192" s="8" t="s">
        <v>531</v>
      </c>
      <c r="H192" s="8" t="s">
        <v>420</v>
      </c>
      <c r="I192" s="8">
        <v>2</v>
      </c>
      <c r="J192" s="8">
        <v>0.15570000000000001</v>
      </c>
      <c r="K192" s="8" t="s">
        <v>421</v>
      </c>
      <c r="L192" s="8"/>
      <c r="M192" s="8">
        <v>4</v>
      </c>
      <c r="O192" s="8" t="s">
        <v>59</v>
      </c>
      <c r="P192" s="8">
        <v>0.15570000000000001</v>
      </c>
      <c r="Q192" s="8" t="s">
        <v>560</v>
      </c>
      <c r="R192" s="8" t="s">
        <v>659</v>
      </c>
      <c r="S192" s="8" t="s">
        <v>659</v>
      </c>
      <c r="T192" s="8" t="str">
        <f t="shared" si="0"/>
        <v>Y</v>
      </c>
    </row>
    <row r="193" spans="1:20" x14ac:dyDescent="0.2">
      <c r="A193" s="8" t="s">
        <v>25</v>
      </c>
      <c r="B193" s="8">
        <v>0.15870000000000001</v>
      </c>
      <c r="C193" s="8" t="s">
        <v>561</v>
      </c>
      <c r="D193" s="8" t="s">
        <v>425</v>
      </c>
      <c r="E193" s="8" t="s">
        <v>422</v>
      </c>
      <c r="F193" s="8" t="s">
        <v>525</v>
      </c>
      <c r="G193" s="8" t="s">
        <v>531</v>
      </c>
      <c r="H193" s="8" t="s">
        <v>420</v>
      </c>
      <c r="I193" s="8">
        <v>2</v>
      </c>
      <c r="J193" s="8">
        <v>0.15870000000000001</v>
      </c>
      <c r="K193" s="8" t="s">
        <v>421</v>
      </c>
      <c r="L193" s="8"/>
      <c r="M193" s="8">
        <v>4</v>
      </c>
      <c r="O193" s="8" t="s">
        <v>25</v>
      </c>
      <c r="P193" s="8">
        <v>0.15870000000000001</v>
      </c>
      <c r="Q193" s="8" t="s">
        <v>561</v>
      </c>
      <c r="R193" s="8" t="s">
        <v>659</v>
      </c>
      <c r="S193" s="8" t="s">
        <v>659</v>
      </c>
      <c r="T193" s="8" t="str">
        <f t="shared" si="0"/>
        <v>Y</v>
      </c>
    </row>
    <row r="194" spans="1:20" x14ac:dyDescent="0.2">
      <c r="A194" s="8" t="s">
        <v>97</v>
      </c>
      <c r="B194" s="8">
        <v>0.17169999999999999</v>
      </c>
      <c r="C194" s="8" t="s">
        <v>562</v>
      </c>
      <c r="D194" s="8" t="s">
        <v>425</v>
      </c>
      <c r="E194" s="8" t="s">
        <v>422</v>
      </c>
      <c r="F194" s="8" t="s">
        <v>525</v>
      </c>
      <c r="G194" s="8" t="s">
        <v>531</v>
      </c>
      <c r="H194" s="8" t="s">
        <v>420</v>
      </c>
      <c r="I194" s="8">
        <v>2</v>
      </c>
      <c r="J194" s="8">
        <v>0.17169999999999999</v>
      </c>
      <c r="K194" s="8" t="s">
        <v>421</v>
      </c>
      <c r="L194" s="8"/>
      <c r="M194" s="8">
        <v>4</v>
      </c>
      <c r="O194" s="8" t="s">
        <v>97</v>
      </c>
      <c r="P194" s="8">
        <v>0.17169999999999999</v>
      </c>
      <c r="Q194" s="8" t="s">
        <v>562</v>
      </c>
      <c r="R194" s="8" t="s">
        <v>659</v>
      </c>
      <c r="S194" s="8" t="s">
        <v>659</v>
      </c>
      <c r="T194" s="8" t="str">
        <f t="shared" si="0"/>
        <v>Y</v>
      </c>
    </row>
    <row r="195" spans="1:20" x14ac:dyDescent="0.2">
      <c r="A195" s="8" t="s">
        <v>106</v>
      </c>
      <c r="B195" s="8">
        <v>0.21869999999999998</v>
      </c>
      <c r="C195" s="8" t="s">
        <v>563</v>
      </c>
      <c r="D195" s="8" t="s">
        <v>425</v>
      </c>
      <c r="E195" s="8" t="s">
        <v>422</v>
      </c>
      <c r="F195" s="8" t="s">
        <v>525</v>
      </c>
      <c r="G195" s="8" t="s">
        <v>531</v>
      </c>
      <c r="H195" s="8" t="s">
        <v>420</v>
      </c>
      <c r="I195" s="8">
        <v>2</v>
      </c>
      <c r="J195" s="8">
        <v>0.21869999999999998</v>
      </c>
      <c r="K195" s="8" t="s">
        <v>421</v>
      </c>
      <c r="L195" s="8"/>
      <c r="M195" s="8">
        <v>4</v>
      </c>
      <c r="O195" s="8" t="s">
        <v>106</v>
      </c>
      <c r="P195" s="8">
        <v>0.21869999999999998</v>
      </c>
      <c r="Q195" s="8" t="s">
        <v>563</v>
      </c>
      <c r="R195" s="8" t="s">
        <v>659</v>
      </c>
      <c r="S195" s="8" t="s">
        <v>659</v>
      </c>
      <c r="T195" s="8" t="str">
        <f t="shared" si="0"/>
        <v>Y</v>
      </c>
    </row>
    <row r="196" spans="1:20" x14ac:dyDescent="0.2">
      <c r="A196" s="8" t="s">
        <v>71</v>
      </c>
      <c r="B196" s="8">
        <v>0.23769999999999999</v>
      </c>
      <c r="C196" s="8" t="s">
        <v>564</v>
      </c>
      <c r="D196" s="8" t="s">
        <v>425</v>
      </c>
      <c r="E196" s="8" t="s">
        <v>422</v>
      </c>
      <c r="F196" s="8" t="s">
        <v>525</v>
      </c>
      <c r="G196" s="8" t="s">
        <v>531</v>
      </c>
      <c r="H196" s="8" t="s">
        <v>420</v>
      </c>
      <c r="I196" s="8">
        <v>2</v>
      </c>
      <c r="J196" s="8">
        <v>0.23769999999999999</v>
      </c>
      <c r="K196" s="8" t="s">
        <v>421</v>
      </c>
      <c r="L196" s="8"/>
      <c r="M196" s="8">
        <v>4</v>
      </c>
      <c r="O196" s="8" t="s">
        <v>71</v>
      </c>
      <c r="P196" s="8">
        <v>0.23769999999999999</v>
      </c>
      <c r="Q196" s="8" t="s">
        <v>564</v>
      </c>
      <c r="R196" s="8" t="s">
        <v>659</v>
      </c>
      <c r="S196" s="8" t="s">
        <v>659</v>
      </c>
      <c r="T196" s="8" t="str">
        <f t="shared" si="0"/>
        <v>Y</v>
      </c>
    </row>
    <row r="197" spans="1:20" x14ac:dyDescent="0.2">
      <c r="A197" s="8" t="s">
        <v>23</v>
      </c>
      <c r="B197" s="8">
        <v>0.25170000000000003</v>
      </c>
      <c r="C197" s="8" t="s">
        <v>565</v>
      </c>
      <c r="D197" s="8" t="s">
        <v>425</v>
      </c>
      <c r="E197" s="8" t="s">
        <v>422</v>
      </c>
      <c r="F197" s="8" t="s">
        <v>525</v>
      </c>
      <c r="G197" s="8" t="s">
        <v>531</v>
      </c>
      <c r="H197" s="8" t="s">
        <v>420</v>
      </c>
      <c r="I197" s="8">
        <v>2</v>
      </c>
      <c r="J197" s="8">
        <v>0.25170000000000003</v>
      </c>
      <c r="K197" s="8" t="s">
        <v>421</v>
      </c>
      <c r="L197" s="8"/>
      <c r="M197" s="8">
        <v>4</v>
      </c>
      <c r="O197" s="8" t="s">
        <v>23</v>
      </c>
      <c r="P197" s="8">
        <v>0.25170000000000003</v>
      </c>
      <c r="Q197" s="8" t="s">
        <v>565</v>
      </c>
      <c r="R197" s="8" t="s">
        <v>659</v>
      </c>
      <c r="S197" s="8" t="s">
        <v>659</v>
      </c>
      <c r="T197" s="8" t="str">
        <f t="shared" si="0"/>
        <v>Y</v>
      </c>
    </row>
    <row r="198" spans="1:20" x14ac:dyDescent="0.2">
      <c r="A198" s="8" t="s">
        <v>251</v>
      </c>
      <c r="B198" s="8">
        <v>0.25370000000000004</v>
      </c>
      <c r="C198" s="8" t="s">
        <v>619</v>
      </c>
      <c r="D198" s="8" t="s">
        <v>425</v>
      </c>
      <c r="E198" s="8" t="s">
        <v>422</v>
      </c>
      <c r="F198" s="8" t="s">
        <v>525</v>
      </c>
      <c r="G198" s="8" t="s">
        <v>531</v>
      </c>
      <c r="H198" s="8" t="s">
        <v>420</v>
      </c>
      <c r="I198" s="8">
        <v>2</v>
      </c>
      <c r="J198" s="8">
        <v>0.25370000000000004</v>
      </c>
      <c r="K198" s="8" t="s">
        <v>421</v>
      </c>
      <c r="L198" s="8"/>
      <c r="M198" s="8">
        <v>4</v>
      </c>
      <c r="O198" s="8" t="s">
        <v>251</v>
      </c>
      <c r="P198" s="8">
        <v>0.25370000000000004</v>
      </c>
      <c r="Q198" s="8" t="s">
        <v>619</v>
      </c>
      <c r="R198" s="8" t="s">
        <v>659</v>
      </c>
      <c r="S198" s="8" t="s">
        <v>659</v>
      </c>
      <c r="T198" s="8" t="str">
        <f t="shared" si="0"/>
        <v>Y</v>
      </c>
    </row>
    <row r="199" spans="1:20" x14ac:dyDescent="0.2">
      <c r="A199" s="8" t="s">
        <v>148</v>
      </c>
      <c r="B199" s="8">
        <v>0.26370000000000005</v>
      </c>
      <c r="C199" s="8" t="s">
        <v>566</v>
      </c>
      <c r="D199" s="8" t="s">
        <v>425</v>
      </c>
      <c r="E199" s="8" t="s">
        <v>422</v>
      </c>
      <c r="F199" s="8" t="s">
        <v>525</v>
      </c>
      <c r="G199" s="8" t="s">
        <v>531</v>
      </c>
      <c r="H199" s="8" t="s">
        <v>420</v>
      </c>
      <c r="I199" s="8">
        <v>2</v>
      </c>
      <c r="J199" s="8">
        <v>0.26370000000000005</v>
      </c>
      <c r="K199" s="8" t="s">
        <v>421</v>
      </c>
      <c r="L199" s="8"/>
      <c r="M199" s="8">
        <v>4</v>
      </c>
      <c r="O199" s="8" t="s">
        <v>148</v>
      </c>
      <c r="P199" s="8">
        <v>0.26370000000000005</v>
      </c>
      <c r="Q199" s="8" t="s">
        <v>566</v>
      </c>
      <c r="R199" s="8" t="s">
        <v>659</v>
      </c>
      <c r="S199" s="8" t="s">
        <v>659</v>
      </c>
      <c r="T199" s="8" t="str">
        <f t="shared" si="0"/>
        <v>Y</v>
      </c>
    </row>
    <row r="200" spans="1:20" x14ac:dyDescent="0.2">
      <c r="A200" s="8" t="s">
        <v>112</v>
      </c>
      <c r="B200" s="8">
        <v>0.27770000000000006</v>
      </c>
      <c r="C200" s="8" t="s">
        <v>567</v>
      </c>
      <c r="D200" s="8" t="s">
        <v>425</v>
      </c>
      <c r="E200" s="8" t="s">
        <v>422</v>
      </c>
      <c r="F200" s="8" t="s">
        <v>525</v>
      </c>
      <c r="G200" s="8" t="s">
        <v>531</v>
      </c>
      <c r="H200" s="8" t="s">
        <v>420</v>
      </c>
      <c r="I200" s="8">
        <v>2</v>
      </c>
      <c r="J200" s="8">
        <v>0.27770000000000006</v>
      </c>
      <c r="K200" s="8" t="s">
        <v>421</v>
      </c>
      <c r="L200" s="8"/>
      <c r="M200" s="8">
        <v>4</v>
      </c>
      <c r="O200" s="8" t="s">
        <v>112</v>
      </c>
      <c r="P200" s="8">
        <v>0.27770000000000006</v>
      </c>
      <c r="Q200" s="8" t="s">
        <v>567</v>
      </c>
      <c r="R200" s="8" t="s">
        <v>659</v>
      </c>
      <c r="S200" s="8" t="s">
        <v>659</v>
      </c>
      <c r="T200" s="8" t="str">
        <f t="shared" si="0"/>
        <v>Y</v>
      </c>
    </row>
    <row r="201" spans="1:20" x14ac:dyDescent="0.2">
      <c r="A201" s="8" t="s">
        <v>284</v>
      </c>
      <c r="B201" s="8">
        <v>0.28669999999999995</v>
      </c>
      <c r="C201" s="8" t="s">
        <v>620</v>
      </c>
      <c r="D201" s="8" t="s">
        <v>425</v>
      </c>
      <c r="E201" s="8" t="s">
        <v>422</v>
      </c>
      <c r="F201" s="8" t="s">
        <v>525</v>
      </c>
      <c r="G201" s="8" t="s">
        <v>531</v>
      </c>
      <c r="H201" s="8" t="s">
        <v>420</v>
      </c>
      <c r="I201" s="8">
        <v>2</v>
      </c>
      <c r="J201" s="8">
        <v>0.28669999999999995</v>
      </c>
      <c r="K201" s="8" t="s">
        <v>421</v>
      </c>
      <c r="L201" s="8"/>
      <c r="M201" s="8">
        <v>4</v>
      </c>
      <c r="O201" s="8" t="s">
        <v>284</v>
      </c>
      <c r="P201" s="8">
        <v>0.28669999999999995</v>
      </c>
      <c r="Q201" s="8" t="s">
        <v>620</v>
      </c>
      <c r="R201" s="8" t="s">
        <v>659</v>
      </c>
      <c r="S201" s="8" t="s">
        <v>659</v>
      </c>
      <c r="T201" s="8" t="str">
        <f t="shared" si="0"/>
        <v>Y</v>
      </c>
    </row>
    <row r="202" spans="1:20" x14ac:dyDescent="0.2">
      <c r="A202" s="8" t="s">
        <v>127</v>
      </c>
      <c r="B202" s="8">
        <v>0.31969999999999998</v>
      </c>
      <c r="C202" s="8" t="s">
        <v>568</v>
      </c>
      <c r="D202" s="8" t="s">
        <v>425</v>
      </c>
      <c r="E202" s="8" t="s">
        <v>422</v>
      </c>
      <c r="F202" s="8" t="s">
        <v>525</v>
      </c>
      <c r="G202" s="8" t="s">
        <v>531</v>
      </c>
      <c r="H202" s="8" t="s">
        <v>420</v>
      </c>
      <c r="I202" s="8">
        <v>2</v>
      </c>
      <c r="J202" s="8">
        <v>0.31969999999999998</v>
      </c>
      <c r="K202" s="8" t="s">
        <v>421</v>
      </c>
      <c r="L202" s="8"/>
      <c r="M202" s="8">
        <v>4</v>
      </c>
      <c r="O202" s="8" t="s">
        <v>127</v>
      </c>
      <c r="P202" s="8">
        <v>0.31969999999999998</v>
      </c>
      <c r="Q202" s="8" t="s">
        <v>568</v>
      </c>
      <c r="R202" s="8" t="s">
        <v>659</v>
      </c>
      <c r="S202" s="8" t="s">
        <v>659</v>
      </c>
      <c r="T202" s="8" t="str">
        <f t="shared" si="0"/>
        <v>Y</v>
      </c>
    </row>
    <row r="203" spans="1:20" x14ac:dyDescent="0.2">
      <c r="A203" s="8" t="s">
        <v>389</v>
      </c>
      <c r="B203" s="8">
        <v>0.32169999999999999</v>
      </c>
      <c r="C203" s="8" t="s">
        <v>621</v>
      </c>
      <c r="D203" s="8" t="s">
        <v>425</v>
      </c>
      <c r="E203" s="8" t="s">
        <v>422</v>
      </c>
      <c r="F203" s="8" t="s">
        <v>525</v>
      </c>
      <c r="G203" s="8" t="s">
        <v>531</v>
      </c>
      <c r="H203" s="8" t="s">
        <v>420</v>
      </c>
      <c r="I203" s="8">
        <v>2</v>
      </c>
      <c r="J203" s="8">
        <v>0.32169999999999999</v>
      </c>
      <c r="K203" s="8" t="s">
        <v>421</v>
      </c>
      <c r="L203" s="8"/>
      <c r="M203" s="8">
        <v>4</v>
      </c>
      <c r="O203" s="8" t="s">
        <v>389</v>
      </c>
      <c r="P203" s="8">
        <v>0.32169999999999999</v>
      </c>
      <c r="Q203" s="8" t="s">
        <v>621</v>
      </c>
      <c r="R203" s="8" t="s">
        <v>659</v>
      </c>
      <c r="S203" s="8" t="s">
        <v>659</v>
      </c>
      <c r="T203" s="8" t="str">
        <f t="shared" si="0"/>
        <v>Y</v>
      </c>
    </row>
    <row r="204" spans="1:20" x14ac:dyDescent="0.2">
      <c r="A204" s="8" t="s">
        <v>193</v>
      </c>
      <c r="B204" s="8">
        <v>0.3377</v>
      </c>
      <c r="C204" s="8" t="s">
        <v>569</v>
      </c>
      <c r="D204" s="8" t="s">
        <v>425</v>
      </c>
      <c r="E204" s="8" t="s">
        <v>422</v>
      </c>
      <c r="F204" s="8" t="s">
        <v>525</v>
      </c>
      <c r="G204" s="8" t="s">
        <v>531</v>
      </c>
      <c r="H204" s="8" t="s">
        <v>420</v>
      </c>
      <c r="I204" s="8">
        <v>2</v>
      </c>
      <c r="J204" s="8">
        <v>0.3377</v>
      </c>
      <c r="K204" s="8" t="s">
        <v>421</v>
      </c>
      <c r="L204" s="8"/>
      <c r="M204" s="8">
        <v>4</v>
      </c>
      <c r="O204" s="8" t="s">
        <v>193</v>
      </c>
      <c r="P204" s="8">
        <v>0.3377</v>
      </c>
      <c r="Q204" s="8" t="s">
        <v>569</v>
      </c>
      <c r="R204" s="8" t="s">
        <v>660</v>
      </c>
      <c r="S204" s="8" t="s">
        <v>659</v>
      </c>
      <c r="T204" s="8" t="str">
        <f t="shared" si="0"/>
        <v>Y</v>
      </c>
    </row>
    <row r="205" spans="1:20" x14ac:dyDescent="0.2">
      <c r="A205" s="8" t="s">
        <v>43</v>
      </c>
      <c r="B205" s="8">
        <v>0.34370000000000001</v>
      </c>
      <c r="C205" s="8" t="s">
        <v>570</v>
      </c>
      <c r="D205" s="8" t="s">
        <v>425</v>
      </c>
      <c r="E205" s="8" t="s">
        <v>422</v>
      </c>
      <c r="F205" s="8" t="s">
        <v>525</v>
      </c>
      <c r="G205" s="8" t="s">
        <v>531</v>
      </c>
      <c r="H205" s="8" t="s">
        <v>420</v>
      </c>
      <c r="I205" s="8">
        <v>2</v>
      </c>
      <c r="J205" s="8">
        <v>0.34370000000000001</v>
      </c>
      <c r="K205" s="8" t="s">
        <v>421</v>
      </c>
      <c r="L205" s="8"/>
      <c r="M205" s="8">
        <v>4</v>
      </c>
      <c r="O205" s="8" t="s">
        <v>43</v>
      </c>
      <c r="P205" s="8">
        <v>0.34370000000000001</v>
      </c>
      <c r="Q205" s="8" t="s">
        <v>570</v>
      </c>
      <c r="R205" s="8" t="s">
        <v>659</v>
      </c>
      <c r="S205" s="8" t="s">
        <v>659</v>
      </c>
      <c r="T205" s="8" t="str">
        <f t="shared" si="0"/>
        <v>Y</v>
      </c>
    </row>
    <row r="206" spans="1:20" x14ac:dyDescent="0.2">
      <c r="A206" s="8" t="s">
        <v>214</v>
      </c>
      <c r="B206" s="8">
        <v>0.40370000000000006</v>
      </c>
      <c r="C206" s="8" t="s">
        <v>622</v>
      </c>
      <c r="D206" s="8" t="s">
        <v>425</v>
      </c>
      <c r="E206" s="8" t="s">
        <v>422</v>
      </c>
      <c r="F206" s="8" t="s">
        <v>525</v>
      </c>
      <c r="G206" s="8" t="s">
        <v>531</v>
      </c>
      <c r="H206" s="8" t="s">
        <v>420</v>
      </c>
      <c r="I206" s="8">
        <v>2</v>
      </c>
      <c r="J206" s="8">
        <v>0.40370000000000006</v>
      </c>
      <c r="K206" s="8" t="s">
        <v>421</v>
      </c>
      <c r="L206" s="8"/>
      <c r="M206" s="8">
        <v>4</v>
      </c>
      <c r="O206" s="8" t="s">
        <v>214</v>
      </c>
      <c r="P206" s="8">
        <v>0.40370000000000006</v>
      </c>
      <c r="Q206" s="8" t="s">
        <v>622</v>
      </c>
      <c r="R206" s="8" t="s">
        <v>659</v>
      </c>
      <c r="S206" s="8" t="s">
        <v>659</v>
      </c>
      <c r="T206" s="8" t="str">
        <f t="shared" si="0"/>
        <v>Y</v>
      </c>
    </row>
    <row r="207" spans="1:20" x14ac:dyDescent="0.2">
      <c r="A207" s="8" t="s">
        <v>47</v>
      </c>
      <c r="B207" s="8">
        <v>0.41269999999999996</v>
      </c>
      <c r="C207" s="8" t="s">
        <v>571</v>
      </c>
      <c r="D207" s="8" t="s">
        <v>425</v>
      </c>
      <c r="E207" s="8" t="s">
        <v>422</v>
      </c>
      <c r="F207" s="8" t="s">
        <v>525</v>
      </c>
      <c r="G207" s="8" t="s">
        <v>531</v>
      </c>
      <c r="H207" s="8" t="s">
        <v>420</v>
      </c>
      <c r="I207" s="8">
        <v>2</v>
      </c>
      <c r="J207" s="8">
        <v>0.41269999999999996</v>
      </c>
      <c r="K207" s="8" t="s">
        <v>421</v>
      </c>
      <c r="L207" s="8"/>
      <c r="M207" s="8">
        <v>4</v>
      </c>
      <c r="O207" s="8" t="s">
        <v>47</v>
      </c>
      <c r="P207" s="8">
        <v>0.41269999999999996</v>
      </c>
      <c r="Q207" s="8" t="s">
        <v>571</v>
      </c>
      <c r="R207" s="8" t="s">
        <v>659</v>
      </c>
      <c r="S207" s="8" t="s">
        <v>659</v>
      </c>
      <c r="T207" s="8" t="str">
        <f t="shared" si="0"/>
        <v>Y</v>
      </c>
    </row>
    <row r="208" spans="1:20" x14ac:dyDescent="0.2">
      <c r="A208" s="8" t="s">
        <v>245</v>
      </c>
      <c r="B208" s="8">
        <v>0.44369999999999998</v>
      </c>
      <c r="C208" s="8" t="s">
        <v>623</v>
      </c>
      <c r="D208" s="8" t="s">
        <v>425</v>
      </c>
      <c r="E208" s="8" t="s">
        <v>422</v>
      </c>
      <c r="F208" s="8" t="s">
        <v>525</v>
      </c>
      <c r="G208" s="8" t="s">
        <v>531</v>
      </c>
      <c r="H208" s="8" t="s">
        <v>420</v>
      </c>
      <c r="I208" s="8">
        <v>2</v>
      </c>
      <c r="J208" s="8">
        <v>0.44369999999999998</v>
      </c>
      <c r="K208" s="8" t="s">
        <v>421</v>
      </c>
      <c r="L208" s="8"/>
      <c r="M208" s="8">
        <v>4</v>
      </c>
      <c r="O208" s="8" t="s">
        <v>245</v>
      </c>
      <c r="P208" s="8">
        <v>0.44369999999999998</v>
      </c>
      <c r="Q208" s="8" t="s">
        <v>623</v>
      </c>
      <c r="R208" s="8" t="s">
        <v>659</v>
      </c>
      <c r="S208" s="8" t="s">
        <v>659</v>
      </c>
      <c r="T208" s="8" t="str">
        <f t="shared" ref="T208:T259" si="1">IF(OR(R208="N",S208="Y"), "Y", "N")</f>
        <v>Y</v>
      </c>
    </row>
    <row r="209" spans="1:20" x14ac:dyDescent="0.2">
      <c r="A209" s="8" t="s">
        <v>311</v>
      </c>
      <c r="B209" s="8">
        <v>0.49070000000000003</v>
      </c>
      <c r="C209" s="8" t="s">
        <v>624</v>
      </c>
      <c r="D209" s="8" t="s">
        <v>425</v>
      </c>
      <c r="E209" s="8" t="s">
        <v>422</v>
      </c>
      <c r="F209" s="8" t="s">
        <v>525</v>
      </c>
      <c r="G209" s="8" t="s">
        <v>531</v>
      </c>
      <c r="H209" s="8" t="s">
        <v>420</v>
      </c>
      <c r="I209" s="8">
        <v>2</v>
      </c>
      <c r="J209" s="8">
        <v>0.49070000000000003</v>
      </c>
      <c r="K209" s="8" t="s">
        <v>421</v>
      </c>
      <c r="L209" s="8"/>
      <c r="M209" s="8">
        <v>4</v>
      </c>
      <c r="O209" s="8" t="s">
        <v>311</v>
      </c>
      <c r="P209" s="8">
        <v>0.49070000000000003</v>
      </c>
      <c r="Q209" s="8" t="s">
        <v>624</v>
      </c>
      <c r="R209" s="8" t="s">
        <v>660</v>
      </c>
      <c r="S209" s="8" t="s">
        <v>659</v>
      </c>
      <c r="T209" s="8" t="str">
        <f t="shared" si="1"/>
        <v>Y</v>
      </c>
    </row>
    <row r="210" spans="1:20" x14ac:dyDescent="0.2">
      <c r="A210" s="8" t="s">
        <v>305</v>
      </c>
      <c r="B210" s="8">
        <v>0.49570000000000003</v>
      </c>
      <c r="C210" s="8" t="s">
        <v>625</v>
      </c>
      <c r="D210" s="8" t="s">
        <v>425</v>
      </c>
      <c r="E210" s="8" t="s">
        <v>422</v>
      </c>
      <c r="F210" s="8" t="s">
        <v>525</v>
      </c>
      <c r="G210" s="8" t="s">
        <v>531</v>
      </c>
      <c r="H210" s="8" t="s">
        <v>420</v>
      </c>
      <c r="I210" s="8">
        <v>2</v>
      </c>
      <c r="J210" s="8">
        <v>0.49570000000000003</v>
      </c>
      <c r="K210" s="8" t="s">
        <v>421</v>
      </c>
      <c r="L210" s="8"/>
      <c r="M210" s="8">
        <v>4</v>
      </c>
      <c r="O210" s="8" t="s">
        <v>305</v>
      </c>
      <c r="P210" s="8">
        <v>0.49570000000000003</v>
      </c>
      <c r="Q210" s="8" t="s">
        <v>625</v>
      </c>
      <c r="R210" s="8" t="s">
        <v>660</v>
      </c>
      <c r="S210" s="8" t="s">
        <v>659</v>
      </c>
      <c r="T210" s="8" t="str">
        <f t="shared" si="1"/>
        <v>Y</v>
      </c>
    </row>
    <row r="211" spans="1:20" x14ac:dyDescent="0.2">
      <c r="A211" s="8" t="s">
        <v>266</v>
      </c>
      <c r="B211" s="8">
        <v>0.72370000000000001</v>
      </c>
      <c r="C211" s="8" t="s">
        <v>626</v>
      </c>
      <c r="D211" s="8" t="s">
        <v>425</v>
      </c>
      <c r="E211" s="8" t="s">
        <v>422</v>
      </c>
      <c r="F211" s="8" t="s">
        <v>525</v>
      </c>
      <c r="G211" s="8" t="s">
        <v>531</v>
      </c>
      <c r="H211" s="8" t="s">
        <v>420</v>
      </c>
      <c r="I211" s="8">
        <v>2</v>
      </c>
      <c r="J211" s="8">
        <v>0.72370000000000001</v>
      </c>
      <c r="K211" s="8" t="s">
        <v>421</v>
      </c>
      <c r="L211" s="8"/>
      <c r="M211" s="8">
        <v>4</v>
      </c>
      <c r="O211" s="8" t="s">
        <v>266</v>
      </c>
      <c r="P211" s="8">
        <v>0.72370000000000001</v>
      </c>
      <c r="Q211" s="8" t="s">
        <v>626</v>
      </c>
      <c r="R211" s="8" t="s">
        <v>659</v>
      </c>
      <c r="S211" s="8" t="s">
        <v>659</v>
      </c>
      <c r="T211" s="8" t="str">
        <f t="shared" si="1"/>
        <v>Y</v>
      </c>
    </row>
    <row r="212" spans="1:20" x14ac:dyDescent="0.2">
      <c r="A212" s="8" t="s">
        <v>208</v>
      </c>
      <c r="B212" s="8">
        <v>0</v>
      </c>
      <c r="C212" s="8" t="s">
        <v>572</v>
      </c>
      <c r="D212" s="8" t="s">
        <v>425</v>
      </c>
      <c r="E212" s="8" t="s">
        <v>422</v>
      </c>
      <c r="F212" s="8" t="s">
        <v>525</v>
      </c>
      <c r="G212" s="8" t="s">
        <v>531</v>
      </c>
      <c r="H212" s="8" t="s">
        <v>420</v>
      </c>
      <c r="I212" s="8">
        <v>2</v>
      </c>
      <c r="J212" s="8">
        <v>0</v>
      </c>
      <c r="K212" s="8" t="s">
        <v>421</v>
      </c>
      <c r="L212" s="8"/>
      <c r="M212" s="8">
        <v>5</v>
      </c>
      <c r="O212" s="8" t="s">
        <v>208</v>
      </c>
      <c r="P212" s="8">
        <v>0</v>
      </c>
      <c r="Q212" s="8" t="s">
        <v>572</v>
      </c>
      <c r="R212" s="8" t="s">
        <v>660</v>
      </c>
      <c r="S212" s="8" t="s">
        <v>659</v>
      </c>
      <c r="T212" s="8" t="str">
        <f t="shared" si="1"/>
        <v>Y</v>
      </c>
    </row>
    <row r="213" spans="1:20" x14ac:dyDescent="0.2">
      <c r="A213" s="8" t="s">
        <v>196</v>
      </c>
      <c r="B213" s="8">
        <v>0</v>
      </c>
      <c r="C213" s="8" t="s">
        <v>573</v>
      </c>
      <c r="D213" s="8" t="s">
        <v>425</v>
      </c>
      <c r="E213" s="8" t="s">
        <v>422</v>
      </c>
      <c r="F213" s="8" t="s">
        <v>525</v>
      </c>
      <c r="G213" s="8" t="s">
        <v>531</v>
      </c>
      <c r="H213" s="8" t="s">
        <v>420</v>
      </c>
      <c r="I213" s="8">
        <v>2</v>
      </c>
      <c r="J213" s="8">
        <v>0</v>
      </c>
      <c r="K213" s="8" t="s">
        <v>421</v>
      </c>
      <c r="L213" s="8"/>
      <c r="M213" s="8">
        <v>5</v>
      </c>
      <c r="O213" s="8" t="s">
        <v>196</v>
      </c>
      <c r="P213" s="8">
        <v>0</v>
      </c>
      <c r="Q213" s="8" t="s">
        <v>573</v>
      </c>
      <c r="R213" s="8" t="s">
        <v>660</v>
      </c>
      <c r="S213" s="8" t="s">
        <v>660</v>
      </c>
      <c r="T213" s="8" t="str">
        <f t="shared" si="1"/>
        <v>Y</v>
      </c>
    </row>
    <row r="214" spans="1:20" x14ac:dyDescent="0.2">
      <c r="A214" s="8" t="s">
        <v>91</v>
      </c>
      <c r="B214" s="8">
        <v>0</v>
      </c>
      <c r="C214" s="8" t="s">
        <v>574</v>
      </c>
      <c r="D214" s="8" t="s">
        <v>425</v>
      </c>
      <c r="E214" s="8" t="s">
        <v>422</v>
      </c>
      <c r="F214" s="8" t="s">
        <v>525</v>
      </c>
      <c r="G214" s="8" t="s">
        <v>531</v>
      </c>
      <c r="H214" s="8" t="s">
        <v>420</v>
      </c>
      <c r="I214" s="8">
        <v>2</v>
      </c>
      <c r="J214" s="8">
        <v>0</v>
      </c>
      <c r="K214" s="8" t="s">
        <v>421</v>
      </c>
      <c r="L214" s="8"/>
      <c r="M214" s="8">
        <v>5</v>
      </c>
      <c r="O214" s="8" t="s">
        <v>91</v>
      </c>
      <c r="P214" s="8">
        <v>0</v>
      </c>
      <c r="Q214" s="8" t="s">
        <v>574</v>
      </c>
      <c r="R214" s="8" t="s">
        <v>660</v>
      </c>
      <c r="S214" s="8" t="s">
        <v>660</v>
      </c>
      <c r="T214" s="8" t="str">
        <f t="shared" si="1"/>
        <v>Y</v>
      </c>
    </row>
    <row r="215" spans="1:20" x14ac:dyDescent="0.2">
      <c r="A215" s="8" t="s">
        <v>224</v>
      </c>
      <c r="B215" s="8">
        <v>5.9999999999999498E-3</v>
      </c>
      <c r="C215" s="8" t="s">
        <v>627</v>
      </c>
      <c r="D215" s="8" t="s">
        <v>425</v>
      </c>
      <c r="E215" s="8" t="s">
        <v>422</v>
      </c>
      <c r="F215" s="8" t="s">
        <v>525</v>
      </c>
      <c r="G215" s="8" t="s">
        <v>531</v>
      </c>
      <c r="H215" s="8" t="s">
        <v>420</v>
      </c>
      <c r="I215" s="8">
        <v>2</v>
      </c>
      <c r="J215" s="8">
        <v>5.9999999999999498E-3</v>
      </c>
      <c r="K215" s="8" t="s">
        <v>421</v>
      </c>
      <c r="L215" s="8"/>
      <c r="M215" s="8">
        <v>5</v>
      </c>
      <c r="O215" s="8" t="s">
        <v>224</v>
      </c>
      <c r="P215" s="8">
        <v>5.9999999999999498E-3</v>
      </c>
      <c r="Q215" s="8" t="s">
        <v>627</v>
      </c>
      <c r="R215" s="8" t="s">
        <v>659</v>
      </c>
      <c r="S215" s="8" t="s">
        <v>660</v>
      </c>
      <c r="T215" s="8" t="str">
        <f t="shared" si="1"/>
        <v>N</v>
      </c>
    </row>
    <row r="216" spans="1:20" x14ac:dyDescent="0.2">
      <c r="A216" s="8" t="s">
        <v>118</v>
      </c>
      <c r="B216" s="8">
        <v>1.3999999999999957E-2</v>
      </c>
      <c r="C216" s="8" t="s">
        <v>575</v>
      </c>
      <c r="D216" s="8" t="s">
        <v>425</v>
      </c>
      <c r="E216" s="8" t="s">
        <v>422</v>
      </c>
      <c r="F216" s="8" t="s">
        <v>525</v>
      </c>
      <c r="G216" s="8" t="s">
        <v>531</v>
      </c>
      <c r="H216" s="8" t="s">
        <v>420</v>
      </c>
      <c r="I216" s="8">
        <v>2</v>
      </c>
      <c r="J216" s="8">
        <v>1.3999999999999957E-2</v>
      </c>
      <c r="K216" s="8" t="s">
        <v>421</v>
      </c>
      <c r="L216" s="8"/>
      <c r="M216" s="8">
        <v>5</v>
      </c>
      <c r="O216" s="8" t="s">
        <v>118</v>
      </c>
      <c r="P216" s="8">
        <v>1.3999999999999957E-2</v>
      </c>
      <c r="Q216" s="8" t="s">
        <v>575</v>
      </c>
      <c r="R216" s="8" t="s">
        <v>660</v>
      </c>
      <c r="S216" s="8" t="s">
        <v>660</v>
      </c>
      <c r="T216" s="8" t="str">
        <f t="shared" si="1"/>
        <v>Y</v>
      </c>
    </row>
    <row r="217" spans="1:20" x14ac:dyDescent="0.2">
      <c r="A217" s="8" t="s">
        <v>199</v>
      </c>
      <c r="B217" s="8">
        <v>1.699999999999996E-2</v>
      </c>
      <c r="C217" s="8" t="s">
        <v>576</v>
      </c>
      <c r="D217" s="8" t="s">
        <v>425</v>
      </c>
      <c r="E217" s="8" t="s">
        <v>422</v>
      </c>
      <c r="F217" s="8" t="s">
        <v>525</v>
      </c>
      <c r="G217" s="8" t="s">
        <v>531</v>
      </c>
      <c r="H217" s="8" t="s">
        <v>420</v>
      </c>
      <c r="I217" s="8">
        <v>2</v>
      </c>
      <c r="J217" s="8">
        <v>1.699999999999996E-2</v>
      </c>
      <c r="K217" s="8" t="s">
        <v>421</v>
      </c>
      <c r="L217" s="8"/>
      <c r="M217" s="8">
        <v>5</v>
      </c>
      <c r="O217" s="8" t="s">
        <v>199</v>
      </c>
      <c r="P217" s="8">
        <v>1.699999999999996E-2</v>
      </c>
      <c r="Q217" s="8" t="s">
        <v>576</v>
      </c>
      <c r="R217" s="8" t="s">
        <v>660</v>
      </c>
      <c r="S217" s="8" t="s">
        <v>659</v>
      </c>
      <c r="T217" s="8" t="str">
        <f t="shared" si="1"/>
        <v>Y</v>
      </c>
    </row>
    <row r="218" spans="1:20" x14ac:dyDescent="0.2">
      <c r="A218" s="8" t="s">
        <v>27</v>
      </c>
      <c r="B218" s="8">
        <v>2.2999999999999965E-2</v>
      </c>
      <c r="C218" s="8" t="s">
        <v>577</v>
      </c>
      <c r="D218" s="8" t="s">
        <v>425</v>
      </c>
      <c r="E218" s="8" t="s">
        <v>422</v>
      </c>
      <c r="F218" s="8" t="s">
        <v>525</v>
      </c>
      <c r="G218" s="8" t="s">
        <v>531</v>
      </c>
      <c r="H218" s="8" t="s">
        <v>420</v>
      </c>
      <c r="I218" s="8">
        <v>2</v>
      </c>
      <c r="J218" s="8">
        <v>2.2999999999999965E-2</v>
      </c>
      <c r="K218" s="8" t="s">
        <v>421</v>
      </c>
      <c r="L218" s="8"/>
      <c r="M218" s="8">
        <v>5</v>
      </c>
      <c r="O218" s="8" t="s">
        <v>27</v>
      </c>
      <c r="P218" s="8">
        <v>2.2999999999999965E-2</v>
      </c>
      <c r="Q218" s="8" t="s">
        <v>577</v>
      </c>
      <c r="R218" s="8" t="s">
        <v>659</v>
      </c>
      <c r="S218" s="8" t="s">
        <v>659</v>
      </c>
      <c r="T218" s="8" t="str">
        <f t="shared" si="1"/>
        <v>Y</v>
      </c>
    </row>
    <row r="219" spans="1:20" x14ac:dyDescent="0.2">
      <c r="A219" s="8" t="s">
        <v>172</v>
      </c>
      <c r="B219" s="8">
        <v>2.5999999999999968E-2</v>
      </c>
      <c r="C219" s="8" t="s">
        <v>578</v>
      </c>
      <c r="D219" s="8" t="s">
        <v>425</v>
      </c>
      <c r="E219" s="8" t="s">
        <v>422</v>
      </c>
      <c r="F219" s="8" t="s">
        <v>525</v>
      </c>
      <c r="G219" s="8" t="s">
        <v>531</v>
      </c>
      <c r="H219" s="8" t="s">
        <v>420</v>
      </c>
      <c r="I219" s="8">
        <v>2</v>
      </c>
      <c r="J219" s="8">
        <v>2.5999999999999968E-2</v>
      </c>
      <c r="K219" s="8" t="s">
        <v>421</v>
      </c>
      <c r="L219" s="8"/>
      <c r="M219" s="8">
        <v>5</v>
      </c>
      <c r="O219" s="8" t="s">
        <v>172</v>
      </c>
      <c r="P219" s="8">
        <v>2.5999999999999968E-2</v>
      </c>
      <c r="Q219" s="8" t="s">
        <v>578</v>
      </c>
      <c r="R219" s="8" t="s">
        <v>659</v>
      </c>
      <c r="S219" s="8" t="s">
        <v>659</v>
      </c>
      <c r="T219" s="8" t="str">
        <f t="shared" si="1"/>
        <v>Y</v>
      </c>
    </row>
    <row r="220" spans="1:20" x14ac:dyDescent="0.2">
      <c r="A220" s="8" t="s">
        <v>166</v>
      </c>
      <c r="B220" s="8">
        <v>4.2999999999999983E-2</v>
      </c>
      <c r="C220" s="8" t="s">
        <v>579</v>
      </c>
      <c r="D220" s="8" t="s">
        <v>425</v>
      </c>
      <c r="E220" s="8" t="s">
        <v>422</v>
      </c>
      <c r="F220" s="8" t="s">
        <v>525</v>
      </c>
      <c r="G220" s="8" t="s">
        <v>531</v>
      </c>
      <c r="H220" s="8" t="s">
        <v>420</v>
      </c>
      <c r="I220" s="8">
        <v>2</v>
      </c>
      <c r="J220" s="8">
        <v>4.2999999999999983E-2</v>
      </c>
      <c r="K220" s="8" t="s">
        <v>421</v>
      </c>
      <c r="L220" s="8"/>
      <c r="M220" s="8">
        <v>5</v>
      </c>
      <c r="O220" s="8" t="s">
        <v>166</v>
      </c>
      <c r="P220" s="8">
        <v>4.2999999999999983E-2</v>
      </c>
      <c r="Q220" s="8" t="s">
        <v>579</v>
      </c>
      <c r="R220" s="8" t="s">
        <v>659</v>
      </c>
      <c r="S220" s="8" t="s">
        <v>659</v>
      </c>
      <c r="T220" s="8" t="str">
        <f t="shared" si="1"/>
        <v>Y</v>
      </c>
    </row>
    <row r="221" spans="1:20" x14ac:dyDescent="0.2">
      <c r="A221" s="8" t="s">
        <v>16</v>
      </c>
      <c r="B221" s="8">
        <v>4.5999999999999985E-2</v>
      </c>
      <c r="C221" s="8" t="s">
        <v>580</v>
      </c>
      <c r="D221" s="8" t="s">
        <v>425</v>
      </c>
      <c r="E221" s="8" t="s">
        <v>422</v>
      </c>
      <c r="F221" s="8" t="s">
        <v>525</v>
      </c>
      <c r="G221" s="8" t="s">
        <v>531</v>
      </c>
      <c r="H221" s="8" t="s">
        <v>420</v>
      </c>
      <c r="I221" s="8">
        <v>2</v>
      </c>
      <c r="J221" s="8">
        <v>4.5999999999999985E-2</v>
      </c>
      <c r="K221" s="8" t="s">
        <v>421</v>
      </c>
      <c r="L221" s="8"/>
      <c r="M221" s="8">
        <v>5</v>
      </c>
      <c r="O221" s="8" t="s">
        <v>16</v>
      </c>
      <c r="P221" s="8">
        <v>4.5999999999999985E-2</v>
      </c>
      <c r="Q221" s="8" t="s">
        <v>580</v>
      </c>
      <c r="R221" s="8" t="s">
        <v>660</v>
      </c>
      <c r="S221" s="8" t="s">
        <v>659</v>
      </c>
      <c r="T221" s="8" t="str">
        <f t="shared" si="1"/>
        <v>Y</v>
      </c>
    </row>
    <row r="222" spans="1:20" x14ac:dyDescent="0.2">
      <c r="A222" s="8" t="s">
        <v>187</v>
      </c>
      <c r="B222" s="8">
        <v>4.8999999999999988E-2</v>
      </c>
      <c r="C222" s="8" t="s">
        <v>581</v>
      </c>
      <c r="D222" s="8" t="s">
        <v>425</v>
      </c>
      <c r="E222" s="8" t="s">
        <v>422</v>
      </c>
      <c r="F222" s="8" t="s">
        <v>525</v>
      </c>
      <c r="G222" s="8" t="s">
        <v>531</v>
      </c>
      <c r="H222" s="8" t="s">
        <v>420</v>
      </c>
      <c r="I222" s="8">
        <v>2</v>
      </c>
      <c r="J222" s="8">
        <v>4.8999999999999988E-2</v>
      </c>
      <c r="K222" s="8" t="s">
        <v>421</v>
      </c>
      <c r="L222" s="8"/>
      <c r="M222" s="8">
        <v>5</v>
      </c>
      <c r="O222" s="8" t="s">
        <v>187</v>
      </c>
      <c r="P222" s="8">
        <v>4.8999999999999988E-2</v>
      </c>
      <c r="Q222" s="8" t="s">
        <v>581</v>
      </c>
      <c r="R222" s="8" t="s">
        <v>660</v>
      </c>
      <c r="S222" s="8" t="s">
        <v>659</v>
      </c>
      <c r="T222" s="8" t="str">
        <f t="shared" si="1"/>
        <v>Y</v>
      </c>
    </row>
    <row r="223" spans="1:20" x14ac:dyDescent="0.2">
      <c r="A223" s="8" t="s">
        <v>308</v>
      </c>
      <c r="B223" s="8">
        <v>5.2999999999999992E-2</v>
      </c>
      <c r="C223" s="8" t="s">
        <v>628</v>
      </c>
      <c r="D223" s="8" t="s">
        <v>425</v>
      </c>
      <c r="E223" s="8" t="s">
        <v>422</v>
      </c>
      <c r="F223" s="8" t="s">
        <v>525</v>
      </c>
      <c r="G223" s="8" t="s">
        <v>531</v>
      </c>
      <c r="H223" s="8" t="s">
        <v>420</v>
      </c>
      <c r="I223" s="8">
        <v>2</v>
      </c>
      <c r="J223" s="8">
        <v>5.2999999999999992E-2</v>
      </c>
      <c r="K223" s="8" t="s">
        <v>421</v>
      </c>
      <c r="L223" s="8"/>
      <c r="M223" s="8">
        <v>5</v>
      </c>
      <c r="O223" s="8" t="s">
        <v>308</v>
      </c>
      <c r="P223" s="8">
        <v>5.2999999999999992E-2</v>
      </c>
      <c r="Q223" s="8" t="s">
        <v>628</v>
      </c>
      <c r="R223" s="8" t="s">
        <v>659</v>
      </c>
      <c r="S223" s="8" t="s">
        <v>659</v>
      </c>
      <c r="T223" s="8" t="str">
        <f t="shared" si="1"/>
        <v>Y</v>
      </c>
    </row>
    <row r="224" spans="1:20" x14ac:dyDescent="0.2">
      <c r="A224" s="8" t="s">
        <v>77</v>
      </c>
      <c r="B224" s="8">
        <v>8.5999999999999965E-2</v>
      </c>
      <c r="C224" s="8" t="s">
        <v>582</v>
      </c>
      <c r="D224" s="8" t="s">
        <v>425</v>
      </c>
      <c r="E224" s="8" t="s">
        <v>422</v>
      </c>
      <c r="F224" s="8" t="s">
        <v>525</v>
      </c>
      <c r="G224" s="8" t="s">
        <v>531</v>
      </c>
      <c r="H224" s="8" t="s">
        <v>420</v>
      </c>
      <c r="I224" s="8">
        <v>2</v>
      </c>
      <c r="J224" s="8">
        <v>8.5999999999999965E-2</v>
      </c>
      <c r="K224" s="8" t="s">
        <v>421</v>
      </c>
      <c r="L224" s="8"/>
      <c r="M224" s="8">
        <v>5</v>
      </c>
      <c r="O224" s="8" t="s">
        <v>77</v>
      </c>
      <c r="P224" s="8">
        <v>8.5999999999999965E-2</v>
      </c>
      <c r="Q224" s="8" t="s">
        <v>582</v>
      </c>
      <c r="R224" s="8" t="s">
        <v>659</v>
      </c>
      <c r="S224" s="8" t="s">
        <v>659</v>
      </c>
      <c r="T224" s="8" t="str">
        <f t="shared" si="1"/>
        <v>Y</v>
      </c>
    </row>
    <row r="225" spans="1:20" x14ac:dyDescent="0.2">
      <c r="A225" s="8" t="s">
        <v>88</v>
      </c>
      <c r="B225" s="8">
        <v>8.5999999999999965E-2</v>
      </c>
      <c r="C225" s="8" t="s">
        <v>583</v>
      </c>
      <c r="D225" s="8" t="s">
        <v>425</v>
      </c>
      <c r="E225" s="8" t="s">
        <v>422</v>
      </c>
      <c r="F225" s="8" t="s">
        <v>525</v>
      </c>
      <c r="G225" s="8" t="s">
        <v>531</v>
      </c>
      <c r="H225" s="8" t="s">
        <v>420</v>
      </c>
      <c r="I225" s="8">
        <v>2</v>
      </c>
      <c r="J225" s="8">
        <v>8.5999999999999965E-2</v>
      </c>
      <c r="K225" s="8" t="s">
        <v>421</v>
      </c>
      <c r="L225" s="8"/>
      <c r="M225" s="8">
        <v>5</v>
      </c>
      <c r="O225" s="8" t="s">
        <v>88</v>
      </c>
      <c r="P225" s="8">
        <v>8.5999999999999965E-2</v>
      </c>
      <c r="Q225" s="8" t="s">
        <v>583</v>
      </c>
      <c r="R225" s="8" t="s">
        <v>659</v>
      </c>
      <c r="S225" s="8" t="s">
        <v>659</v>
      </c>
      <c r="T225" s="8" t="str">
        <f t="shared" si="1"/>
        <v>Y</v>
      </c>
    </row>
    <row r="226" spans="1:20" x14ac:dyDescent="0.2">
      <c r="A226" s="8" t="s">
        <v>314</v>
      </c>
      <c r="B226" s="8">
        <v>8.6999999999999966E-2</v>
      </c>
      <c r="C226" s="8" t="s">
        <v>629</v>
      </c>
      <c r="D226" s="8" t="s">
        <v>425</v>
      </c>
      <c r="E226" s="8" t="s">
        <v>422</v>
      </c>
      <c r="F226" s="8" t="s">
        <v>525</v>
      </c>
      <c r="G226" s="8" t="s">
        <v>531</v>
      </c>
      <c r="H226" s="8" t="s">
        <v>420</v>
      </c>
      <c r="I226" s="8">
        <v>2</v>
      </c>
      <c r="J226" s="8">
        <v>8.6999999999999966E-2</v>
      </c>
      <c r="K226" s="8" t="s">
        <v>421</v>
      </c>
      <c r="L226" s="8"/>
      <c r="M226" s="8">
        <v>5</v>
      </c>
      <c r="O226" s="8" t="s">
        <v>314</v>
      </c>
      <c r="P226" s="8">
        <v>8.6999999999999966E-2</v>
      </c>
      <c r="Q226" s="8" t="s">
        <v>629</v>
      </c>
      <c r="R226" s="8" t="s">
        <v>659</v>
      </c>
      <c r="S226" s="8" t="s">
        <v>659</v>
      </c>
      <c r="T226" s="8" t="str">
        <f t="shared" si="1"/>
        <v>Y</v>
      </c>
    </row>
    <row r="227" spans="1:20" x14ac:dyDescent="0.2">
      <c r="A227" s="8" t="s">
        <v>368</v>
      </c>
      <c r="B227" s="8">
        <v>9.9999999999999978E-2</v>
      </c>
      <c r="C227" s="8" t="s">
        <v>630</v>
      </c>
      <c r="D227" s="8" t="s">
        <v>425</v>
      </c>
      <c r="E227" s="8" t="s">
        <v>422</v>
      </c>
      <c r="F227" s="8" t="s">
        <v>525</v>
      </c>
      <c r="G227" s="8" t="s">
        <v>531</v>
      </c>
      <c r="H227" s="8" t="s">
        <v>420</v>
      </c>
      <c r="I227" s="8">
        <v>2</v>
      </c>
      <c r="J227" s="8">
        <v>9.9999999999999978E-2</v>
      </c>
      <c r="K227" s="8" t="s">
        <v>421</v>
      </c>
      <c r="L227" s="8"/>
      <c r="M227" s="8">
        <v>5</v>
      </c>
      <c r="O227" s="8" t="s">
        <v>368</v>
      </c>
      <c r="P227" s="8">
        <v>9.9999999999999978E-2</v>
      </c>
      <c r="Q227" s="8" t="s">
        <v>630</v>
      </c>
      <c r="R227" s="8" t="s">
        <v>659</v>
      </c>
      <c r="S227" s="8" t="s">
        <v>659</v>
      </c>
      <c r="T227" s="8" t="str">
        <f t="shared" si="1"/>
        <v>Y</v>
      </c>
    </row>
    <row r="228" spans="1:20" x14ac:dyDescent="0.2">
      <c r="A228" s="8" t="s">
        <v>109</v>
      </c>
      <c r="B228" s="8">
        <v>0.16499999999999992</v>
      </c>
      <c r="C228" s="8" t="s">
        <v>584</v>
      </c>
      <c r="D228" s="8" t="s">
        <v>425</v>
      </c>
      <c r="E228" s="8" t="s">
        <v>422</v>
      </c>
      <c r="F228" s="8" t="s">
        <v>525</v>
      </c>
      <c r="G228" s="8" t="s">
        <v>531</v>
      </c>
      <c r="H228" s="8" t="s">
        <v>420</v>
      </c>
      <c r="I228" s="8">
        <v>2</v>
      </c>
      <c r="J228" s="8">
        <v>0.16499999999999992</v>
      </c>
      <c r="K228" s="8" t="s">
        <v>421</v>
      </c>
      <c r="L228" s="8"/>
      <c r="M228" s="8">
        <v>5</v>
      </c>
      <c r="O228" s="8" t="s">
        <v>109</v>
      </c>
      <c r="P228" s="8">
        <v>0.16499999999999992</v>
      </c>
      <c r="Q228" s="8" t="s">
        <v>584</v>
      </c>
      <c r="R228" s="8" t="s">
        <v>659</v>
      </c>
      <c r="S228" s="8" t="s">
        <v>659</v>
      </c>
      <c r="T228" s="8" t="str">
        <f t="shared" si="1"/>
        <v>Y</v>
      </c>
    </row>
    <row r="229" spans="1:20" x14ac:dyDescent="0.2">
      <c r="A229" s="8" t="s">
        <v>242</v>
      </c>
      <c r="B229" s="8">
        <v>0.19599999999999995</v>
      </c>
      <c r="C229" s="8" t="s">
        <v>631</v>
      </c>
      <c r="D229" s="8" t="s">
        <v>425</v>
      </c>
      <c r="E229" s="8" t="s">
        <v>422</v>
      </c>
      <c r="F229" s="8" t="s">
        <v>525</v>
      </c>
      <c r="G229" s="8" t="s">
        <v>531</v>
      </c>
      <c r="H229" s="8" t="s">
        <v>420</v>
      </c>
      <c r="I229" s="8">
        <v>2</v>
      </c>
      <c r="J229" s="8">
        <v>0.19599999999999995</v>
      </c>
      <c r="K229" s="8" t="s">
        <v>421</v>
      </c>
      <c r="L229" s="8"/>
      <c r="M229" s="8">
        <v>5</v>
      </c>
      <c r="O229" s="8" t="s">
        <v>242</v>
      </c>
      <c r="P229" s="8">
        <v>0.19599999999999995</v>
      </c>
      <c r="Q229" s="8" t="s">
        <v>631</v>
      </c>
      <c r="R229" s="8" t="s">
        <v>659</v>
      </c>
      <c r="S229" s="8" t="s">
        <v>659</v>
      </c>
      <c r="T229" s="8" t="str">
        <f t="shared" si="1"/>
        <v>Y</v>
      </c>
    </row>
    <row r="230" spans="1:20" x14ac:dyDescent="0.2">
      <c r="A230" s="8" t="s">
        <v>299</v>
      </c>
      <c r="B230" s="8">
        <v>0.20399999999999996</v>
      </c>
      <c r="C230" s="8" t="s">
        <v>632</v>
      </c>
      <c r="D230" s="8" t="s">
        <v>425</v>
      </c>
      <c r="E230" s="8" t="s">
        <v>422</v>
      </c>
      <c r="F230" s="8" t="s">
        <v>525</v>
      </c>
      <c r="G230" s="8" t="s">
        <v>531</v>
      </c>
      <c r="H230" s="8" t="s">
        <v>420</v>
      </c>
      <c r="I230" s="8">
        <v>2</v>
      </c>
      <c r="J230" s="8">
        <v>0.20399999999999996</v>
      </c>
      <c r="K230" s="8" t="s">
        <v>421</v>
      </c>
      <c r="L230" s="8"/>
      <c r="M230" s="8">
        <v>5</v>
      </c>
      <c r="O230" s="8" t="s">
        <v>299</v>
      </c>
      <c r="P230" s="8">
        <v>0.20399999999999996</v>
      </c>
      <c r="Q230" s="8" t="s">
        <v>632</v>
      </c>
      <c r="R230" s="8" t="s">
        <v>660</v>
      </c>
      <c r="S230" s="8" t="s">
        <v>659</v>
      </c>
      <c r="T230" s="8" t="str">
        <f t="shared" si="1"/>
        <v>Y</v>
      </c>
    </row>
    <row r="231" spans="1:20" x14ac:dyDescent="0.2">
      <c r="A231" s="8" t="s">
        <v>100</v>
      </c>
      <c r="B231" s="8">
        <v>0.27200000000000002</v>
      </c>
      <c r="C231" s="8" t="s">
        <v>585</v>
      </c>
      <c r="D231" s="8" t="s">
        <v>425</v>
      </c>
      <c r="E231" s="8" t="s">
        <v>422</v>
      </c>
      <c r="F231" s="8" t="s">
        <v>525</v>
      </c>
      <c r="G231" s="8" t="s">
        <v>531</v>
      </c>
      <c r="H231" s="8" t="s">
        <v>420</v>
      </c>
      <c r="I231" s="8">
        <v>2</v>
      </c>
      <c r="J231" s="8">
        <v>0.27200000000000002</v>
      </c>
      <c r="K231" s="8" t="s">
        <v>421</v>
      </c>
      <c r="L231" s="8"/>
      <c r="M231" s="8">
        <v>5</v>
      </c>
      <c r="O231" s="8" t="s">
        <v>100</v>
      </c>
      <c r="P231" s="8">
        <v>0.27200000000000002</v>
      </c>
      <c r="Q231" s="8" t="s">
        <v>585</v>
      </c>
      <c r="R231" s="8" t="s">
        <v>659</v>
      </c>
      <c r="S231" s="8" t="s">
        <v>659</v>
      </c>
      <c r="T231" s="8" t="str">
        <f t="shared" si="1"/>
        <v>Y</v>
      </c>
    </row>
    <row r="232" spans="1:20" x14ac:dyDescent="0.2">
      <c r="A232" s="8" t="s">
        <v>278</v>
      </c>
      <c r="B232" s="8">
        <v>0.57199999999999995</v>
      </c>
      <c r="C232" s="8" t="s">
        <v>633</v>
      </c>
      <c r="D232" s="8" t="s">
        <v>425</v>
      </c>
      <c r="E232" s="8" t="s">
        <v>422</v>
      </c>
      <c r="F232" s="8" t="s">
        <v>525</v>
      </c>
      <c r="G232" s="8" t="s">
        <v>531</v>
      </c>
      <c r="H232" s="8" t="s">
        <v>420</v>
      </c>
      <c r="I232" s="8">
        <v>2</v>
      </c>
      <c r="J232" s="8">
        <v>0.57199999999999995</v>
      </c>
      <c r="K232" s="8" t="s">
        <v>421</v>
      </c>
      <c r="L232" s="8"/>
      <c r="M232" s="8">
        <v>5</v>
      </c>
      <c r="O232" s="8" t="s">
        <v>278</v>
      </c>
      <c r="P232" s="8">
        <v>0.57199999999999995</v>
      </c>
      <c r="Q232" s="8" t="s">
        <v>633</v>
      </c>
      <c r="R232" s="8" t="s">
        <v>660</v>
      </c>
      <c r="S232" s="8" t="s">
        <v>659</v>
      </c>
      <c r="T232" s="8" t="str">
        <f t="shared" si="1"/>
        <v>Y</v>
      </c>
    </row>
    <row r="233" spans="1:20" x14ac:dyDescent="0.2">
      <c r="A233" s="8" t="s">
        <v>332</v>
      </c>
      <c r="B233" s="8">
        <v>0.629</v>
      </c>
      <c r="C233" s="8" t="s">
        <v>634</v>
      </c>
      <c r="D233" s="8" t="s">
        <v>425</v>
      </c>
      <c r="E233" s="8" t="s">
        <v>422</v>
      </c>
      <c r="F233" s="8" t="s">
        <v>525</v>
      </c>
      <c r="G233" s="8" t="s">
        <v>531</v>
      </c>
      <c r="H233" s="8" t="s">
        <v>420</v>
      </c>
      <c r="I233" s="8">
        <v>2</v>
      </c>
      <c r="J233" s="8">
        <v>0.629</v>
      </c>
      <c r="K233" s="8" t="s">
        <v>421</v>
      </c>
      <c r="L233" s="8"/>
      <c r="M233" s="8">
        <v>5</v>
      </c>
      <c r="O233" s="8" t="s">
        <v>332</v>
      </c>
      <c r="P233" s="8">
        <v>0.629</v>
      </c>
      <c r="Q233" s="8" t="s">
        <v>634</v>
      </c>
      <c r="R233" s="8" t="s">
        <v>660</v>
      </c>
      <c r="S233" s="8" t="s">
        <v>659</v>
      </c>
      <c r="T233" s="8" t="str">
        <f t="shared" si="1"/>
        <v>Y</v>
      </c>
    </row>
    <row r="234" spans="1:20" x14ac:dyDescent="0.2">
      <c r="A234" s="8" t="s">
        <v>63</v>
      </c>
      <c r="B234" s="8">
        <v>0.03</v>
      </c>
      <c r="C234" s="8" t="s">
        <v>586</v>
      </c>
      <c r="D234" s="8" t="s">
        <v>425</v>
      </c>
      <c r="E234" s="8" t="s">
        <v>422</v>
      </c>
      <c r="F234" s="8" t="s">
        <v>525</v>
      </c>
      <c r="G234" s="8" t="s">
        <v>531</v>
      </c>
      <c r="H234" s="8" t="s">
        <v>420</v>
      </c>
      <c r="I234" s="8">
        <v>2</v>
      </c>
      <c r="J234" s="8">
        <v>0.03</v>
      </c>
      <c r="K234" s="8" t="s">
        <v>421</v>
      </c>
      <c r="L234" s="8"/>
      <c r="M234" s="8">
        <v>6</v>
      </c>
      <c r="O234" s="8" t="s">
        <v>63</v>
      </c>
      <c r="P234" s="8">
        <v>0.03</v>
      </c>
      <c r="Q234" s="8" t="s">
        <v>586</v>
      </c>
      <c r="R234" s="8" t="s">
        <v>659</v>
      </c>
      <c r="S234" s="8" t="s">
        <v>659</v>
      </c>
      <c r="T234" s="8" t="str">
        <f t="shared" si="1"/>
        <v>Y</v>
      </c>
    </row>
    <row r="235" spans="1:20" x14ac:dyDescent="0.2">
      <c r="A235" s="8" t="s">
        <v>338</v>
      </c>
      <c r="B235" s="8">
        <v>0.10200000000000001</v>
      </c>
      <c r="C235" s="8" t="s">
        <v>635</v>
      </c>
      <c r="D235" s="8" t="s">
        <v>425</v>
      </c>
      <c r="E235" s="8" t="s">
        <v>422</v>
      </c>
      <c r="F235" s="8" t="s">
        <v>525</v>
      </c>
      <c r="G235" s="8" t="s">
        <v>531</v>
      </c>
      <c r="H235" s="8" t="s">
        <v>420</v>
      </c>
      <c r="I235" s="8">
        <v>2</v>
      </c>
      <c r="J235" s="8">
        <v>0.10200000000000001</v>
      </c>
      <c r="K235" s="8" t="s">
        <v>421</v>
      </c>
      <c r="L235" s="8"/>
      <c r="M235" s="8">
        <v>6</v>
      </c>
      <c r="O235" s="8" t="s">
        <v>338</v>
      </c>
      <c r="P235" s="8">
        <v>0.10200000000000001</v>
      </c>
      <c r="Q235" s="8" t="s">
        <v>635</v>
      </c>
      <c r="R235" s="8" t="s">
        <v>659</v>
      </c>
      <c r="S235" s="8" t="s">
        <v>659</v>
      </c>
      <c r="T235" s="8" t="str">
        <f t="shared" si="1"/>
        <v>Y</v>
      </c>
    </row>
    <row r="236" spans="1:20" x14ac:dyDescent="0.2">
      <c r="A236" s="8" t="s">
        <v>163</v>
      </c>
      <c r="B236" s="8">
        <v>0.12200000000000003</v>
      </c>
      <c r="C236" s="8" t="s">
        <v>587</v>
      </c>
      <c r="D236" s="8" t="s">
        <v>425</v>
      </c>
      <c r="E236" s="8" t="s">
        <v>422</v>
      </c>
      <c r="F236" s="8" t="s">
        <v>525</v>
      </c>
      <c r="G236" s="8" t="s">
        <v>531</v>
      </c>
      <c r="H236" s="8" t="s">
        <v>420</v>
      </c>
      <c r="I236" s="8">
        <v>2</v>
      </c>
      <c r="J236" s="8">
        <v>0.12200000000000003</v>
      </c>
      <c r="K236" s="8" t="s">
        <v>421</v>
      </c>
      <c r="L236" s="8"/>
      <c r="M236" s="8">
        <v>6</v>
      </c>
      <c r="O236" s="8" t="s">
        <v>163</v>
      </c>
      <c r="P236" s="8">
        <v>0.12200000000000003</v>
      </c>
      <c r="Q236" s="8" t="s">
        <v>587</v>
      </c>
      <c r="R236" s="8" t="s">
        <v>659</v>
      </c>
      <c r="S236" s="8" t="s">
        <v>659</v>
      </c>
      <c r="T236" s="8" t="str">
        <f t="shared" si="1"/>
        <v>Y</v>
      </c>
    </row>
    <row r="237" spans="1:20" x14ac:dyDescent="0.2">
      <c r="A237" s="8" t="s">
        <v>29</v>
      </c>
      <c r="B237" s="8">
        <v>0.12600000000000003</v>
      </c>
      <c r="C237" s="8" t="s">
        <v>588</v>
      </c>
      <c r="D237" s="8" t="s">
        <v>425</v>
      </c>
      <c r="E237" s="8" t="s">
        <v>422</v>
      </c>
      <c r="F237" s="8" t="s">
        <v>525</v>
      </c>
      <c r="G237" s="8" t="s">
        <v>531</v>
      </c>
      <c r="H237" s="8" t="s">
        <v>420</v>
      </c>
      <c r="I237" s="8">
        <v>2</v>
      </c>
      <c r="J237" s="8">
        <v>0.12600000000000003</v>
      </c>
      <c r="K237" s="8" t="s">
        <v>421</v>
      </c>
      <c r="L237" s="8"/>
      <c r="M237" s="8">
        <v>6</v>
      </c>
      <c r="O237" s="8" t="s">
        <v>29</v>
      </c>
      <c r="P237" s="8">
        <v>0.12600000000000003</v>
      </c>
      <c r="Q237" s="8" t="s">
        <v>588</v>
      </c>
      <c r="R237" s="8" t="s">
        <v>659</v>
      </c>
      <c r="S237" s="8" t="s">
        <v>659</v>
      </c>
      <c r="T237" s="8" t="str">
        <f t="shared" si="1"/>
        <v>Y</v>
      </c>
    </row>
    <row r="238" spans="1:20" x14ac:dyDescent="0.2">
      <c r="A238" s="8" t="s">
        <v>353</v>
      </c>
      <c r="B238" s="8">
        <v>0.14399999999999999</v>
      </c>
      <c r="C238" s="8" t="s">
        <v>636</v>
      </c>
      <c r="D238" s="8" t="s">
        <v>425</v>
      </c>
      <c r="E238" s="8" t="s">
        <v>422</v>
      </c>
      <c r="F238" s="8" t="s">
        <v>525</v>
      </c>
      <c r="G238" s="8" t="s">
        <v>531</v>
      </c>
      <c r="H238" s="8" t="s">
        <v>420</v>
      </c>
      <c r="I238" s="8">
        <v>2</v>
      </c>
      <c r="J238" s="8">
        <v>0.14399999999999999</v>
      </c>
      <c r="K238" s="8" t="s">
        <v>421</v>
      </c>
      <c r="L238" s="8"/>
      <c r="M238" s="8">
        <v>6</v>
      </c>
      <c r="O238" s="8" t="s">
        <v>353</v>
      </c>
      <c r="P238" s="8">
        <v>0.14399999999999999</v>
      </c>
      <c r="Q238" s="8" t="s">
        <v>636</v>
      </c>
      <c r="R238" s="8" t="s">
        <v>659</v>
      </c>
      <c r="S238" s="8" t="s">
        <v>659</v>
      </c>
      <c r="T238" s="8" t="str">
        <f t="shared" si="1"/>
        <v>Y</v>
      </c>
    </row>
    <row r="239" spans="1:20" x14ac:dyDescent="0.2">
      <c r="A239" s="8" t="s">
        <v>220</v>
      </c>
      <c r="B239" s="8">
        <v>0.18400000000000002</v>
      </c>
      <c r="C239" s="8" t="s">
        <v>637</v>
      </c>
      <c r="D239" s="8" t="s">
        <v>425</v>
      </c>
      <c r="E239" s="8" t="s">
        <v>422</v>
      </c>
      <c r="F239" s="8" t="s">
        <v>525</v>
      </c>
      <c r="G239" s="8" t="s">
        <v>531</v>
      </c>
      <c r="H239" s="8" t="s">
        <v>420</v>
      </c>
      <c r="I239" s="8">
        <v>2</v>
      </c>
      <c r="J239" s="8">
        <v>0.18400000000000002</v>
      </c>
      <c r="K239" s="8" t="s">
        <v>421</v>
      </c>
      <c r="L239" s="8"/>
      <c r="M239" s="8">
        <v>6</v>
      </c>
      <c r="O239" s="8" t="s">
        <v>220</v>
      </c>
      <c r="P239" s="8">
        <v>0.18400000000000002</v>
      </c>
      <c r="Q239" s="8" t="s">
        <v>637</v>
      </c>
      <c r="R239" s="8" t="s">
        <v>659</v>
      </c>
      <c r="S239" s="8" t="s">
        <v>660</v>
      </c>
      <c r="T239" s="8" t="str">
        <f t="shared" si="1"/>
        <v>N</v>
      </c>
    </row>
    <row r="240" spans="1:20" x14ac:dyDescent="0.2">
      <c r="A240" s="8" t="s">
        <v>392</v>
      </c>
      <c r="B240" s="8">
        <v>0.18600000000000003</v>
      </c>
      <c r="C240" s="8" t="s">
        <v>638</v>
      </c>
      <c r="D240" s="8" t="s">
        <v>425</v>
      </c>
      <c r="E240" s="8" t="s">
        <v>422</v>
      </c>
      <c r="F240" s="8" t="s">
        <v>525</v>
      </c>
      <c r="G240" s="8" t="s">
        <v>531</v>
      </c>
      <c r="H240" s="8" t="s">
        <v>420</v>
      </c>
      <c r="I240" s="8">
        <v>2</v>
      </c>
      <c r="J240" s="8">
        <v>0.18600000000000003</v>
      </c>
      <c r="K240" s="8" t="s">
        <v>421</v>
      </c>
      <c r="L240" s="8"/>
      <c r="M240" s="8">
        <v>6</v>
      </c>
      <c r="O240" s="8" t="s">
        <v>392</v>
      </c>
      <c r="P240" s="8">
        <v>0.18600000000000003</v>
      </c>
      <c r="Q240" s="8" t="s">
        <v>638</v>
      </c>
      <c r="R240" s="8" t="s">
        <v>660</v>
      </c>
      <c r="S240" s="8" t="s">
        <v>659</v>
      </c>
      <c r="T240" s="8" t="str">
        <f t="shared" si="1"/>
        <v>Y</v>
      </c>
    </row>
    <row r="241" spans="1:20" x14ac:dyDescent="0.2">
      <c r="A241" s="8" t="s">
        <v>136</v>
      </c>
      <c r="B241" s="8">
        <v>0.19600000000000004</v>
      </c>
      <c r="C241" s="8" t="s">
        <v>589</v>
      </c>
      <c r="D241" s="8" t="s">
        <v>425</v>
      </c>
      <c r="E241" s="8" t="s">
        <v>422</v>
      </c>
      <c r="F241" s="8" t="s">
        <v>525</v>
      </c>
      <c r="G241" s="8" t="s">
        <v>531</v>
      </c>
      <c r="H241" s="8" t="s">
        <v>420</v>
      </c>
      <c r="I241" s="8">
        <v>2</v>
      </c>
      <c r="J241" s="8">
        <v>0.19600000000000004</v>
      </c>
      <c r="K241" s="8" t="s">
        <v>421</v>
      </c>
      <c r="L241" s="8"/>
      <c r="M241" s="8">
        <v>6</v>
      </c>
      <c r="O241" s="8" t="s">
        <v>136</v>
      </c>
      <c r="P241" s="8">
        <v>0.19600000000000004</v>
      </c>
      <c r="Q241" s="8" t="s">
        <v>589</v>
      </c>
      <c r="R241" s="8" t="s">
        <v>659</v>
      </c>
      <c r="S241" s="8" t="s">
        <v>659</v>
      </c>
      <c r="T241" s="8" t="str">
        <f t="shared" si="1"/>
        <v>Y</v>
      </c>
    </row>
    <row r="242" spans="1:20" x14ac:dyDescent="0.2">
      <c r="A242" s="8" t="s">
        <v>175</v>
      </c>
      <c r="B242" s="8">
        <v>0.20699999999999999</v>
      </c>
      <c r="C242" s="8" t="s">
        <v>590</v>
      </c>
      <c r="D242" s="8" t="s">
        <v>425</v>
      </c>
      <c r="E242" s="8" t="s">
        <v>422</v>
      </c>
      <c r="F242" s="8" t="s">
        <v>525</v>
      </c>
      <c r="G242" s="8" t="s">
        <v>531</v>
      </c>
      <c r="H242" s="8" t="s">
        <v>420</v>
      </c>
      <c r="I242" s="8">
        <v>2</v>
      </c>
      <c r="J242" s="8">
        <v>0.20699999999999999</v>
      </c>
      <c r="K242" s="8" t="s">
        <v>421</v>
      </c>
      <c r="L242" s="8"/>
      <c r="M242" s="8">
        <v>6</v>
      </c>
      <c r="O242" s="8" t="s">
        <v>175</v>
      </c>
      <c r="P242" s="8">
        <v>0.20699999999999999</v>
      </c>
      <c r="Q242" s="8" t="s">
        <v>590</v>
      </c>
      <c r="R242" s="8" t="s">
        <v>659</v>
      </c>
      <c r="S242" s="8" t="s">
        <v>659</v>
      </c>
      <c r="T242" s="8" t="str">
        <f t="shared" si="1"/>
        <v>Y</v>
      </c>
    </row>
    <row r="243" spans="1:20" x14ac:dyDescent="0.2">
      <c r="A243" s="8" t="s">
        <v>335</v>
      </c>
      <c r="B243" s="8">
        <v>0.216</v>
      </c>
      <c r="C243" s="8" t="s">
        <v>639</v>
      </c>
      <c r="D243" s="8" t="s">
        <v>425</v>
      </c>
      <c r="E243" s="8" t="s">
        <v>422</v>
      </c>
      <c r="F243" s="8" t="s">
        <v>525</v>
      </c>
      <c r="G243" s="8" t="s">
        <v>531</v>
      </c>
      <c r="H243" s="8" t="s">
        <v>420</v>
      </c>
      <c r="I243" s="8">
        <v>2</v>
      </c>
      <c r="J243" s="8">
        <v>0.216</v>
      </c>
      <c r="K243" s="8" t="s">
        <v>421</v>
      </c>
      <c r="L243" s="8"/>
      <c r="M243" s="8">
        <v>6</v>
      </c>
      <c r="O243" s="8" t="s">
        <v>335</v>
      </c>
      <c r="P243" s="8">
        <v>0.216</v>
      </c>
      <c r="Q243" s="8" t="s">
        <v>639</v>
      </c>
      <c r="R243" s="8" t="s">
        <v>660</v>
      </c>
      <c r="S243" s="8" t="s">
        <v>659</v>
      </c>
      <c r="T243" s="8" t="str">
        <f t="shared" si="1"/>
        <v>Y</v>
      </c>
    </row>
    <row r="244" spans="1:20" x14ac:dyDescent="0.2">
      <c r="A244" s="8" t="s">
        <v>359</v>
      </c>
      <c r="B244" s="8">
        <v>0.219</v>
      </c>
      <c r="C244" s="8" t="s">
        <v>640</v>
      </c>
      <c r="D244" s="8" t="s">
        <v>425</v>
      </c>
      <c r="E244" s="8" t="s">
        <v>422</v>
      </c>
      <c r="F244" s="8" t="s">
        <v>525</v>
      </c>
      <c r="G244" s="8" t="s">
        <v>531</v>
      </c>
      <c r="H244" s="8" t="s">
        <v>420</v>
      </c>
      <c r="I244" s="8">
        <v>2</v>
      </c>
      <c r="J244" s="8">
        <v>0.219</v>
      </c>
      <c r="K244" s="8" t="s">
        <v>421</v>
      </c>
      <c r="L244" s="8"/>
      <c r="M244" s="8">
        <v>6</v>
      </c>
      <c r="O244" s="8" t="s">
        <v>359</v>
      </c>
      <c r="P244" s="8">
        <v>0.219</v>
      </c>
      <c r="Q244" s="8" t="s">
        <v>640</v>
      </c>
      <c r="R244" s="8" t="s">
        <v>659</v>
      </c>
      <c r="S244" s="8" t="s">
        <v>659</v>
      </c>
      <c r="T244" s="8" t="str">
        <f t="shared" si="1"/>
        <v>Y</v>
      </c>
    </row>
    <row r="245" spans="1:20" x14ac:dyDescent="0.2">
      <c r="A245" s="8" t="s">
        <v>55</v>
      </c>
      <c r="B245" s="8">
        <v>0.23300000000000001</v>
      </c>
      <c r="C245" s="8" t="s">
        <v>591</v>
      </c>
      <c r="D245" s="8" t="s">
        <v>425</v>
      </c>
      <c r="E245" s="8" t="s">
        <v>422</v>
      </c>
      <c r="F245" s="8" t="s">
        <v>525</v>
      </c>
      <c r="G245" s="8" t="s">
        <v>531</v>
      </c>
      <c r="H245" s="8" t="s">
        <v>420</v>
      </c>
      <c r="I245" s="8">
        <v>2</v>
      </c>
      <c r="J245" s="8">
        <v>0.23300000000000001</v>
      </c>
      <c r="K245" s="8" t="s">
        <v>421</v>
      </c>
      <c r="L245" s="8"/>
      <c r="M245" s="8">
        <v>6</v>
      </c>
      <c r="O245" s="8" t="s">
        <v>55</v>
      </c>
      <c r="P245" s="8">
        <v>0.23300000000000001</v>
      </c>
      <c r="Q245" s="8" t="s">
        <v>591</v>
      </c>
      <c r="R245" s="8" t="s">
        <v>659</v>
      </c>
      <c r="S245" s="8" t="s">
        <v>659</v>
      </c>
      <c r="T245" s="8" t="str">
        <f t="shared" si="1"/>
        <v>Y</v>
      </c>
    </row>
    <row r="246" spans="1:20" x14ac:dyDescent="0.2">
      <c r="A246" s="8" t="s">
        <v>130</v>
      </c>
      <c r="B246" s="8">
        <v>0.27</v>
      </c>
      <c r="C246" s="8" t="s">
        <v>592</v>
      </c>
      <c r="D246" s="8" t="s">
        <v>425</v>
      </c>
      <c r="E246" s="8" t="s">
        <v>422</v>
      </c>
      <c r="F246" s="8" t="s">
        <v>525</v>
      </c>
      <c r="G246" s="8" t="s">
        <v>531</v>
      </c>
      <c r="H246" s="8" t="s">
        <v>420</v>
      </c>
      <c r="I246" s="8">
        <v>2</v>
      </c>
      <c r="J246" s="8">
        <v>0.27</v>
      </c>
      <c r="K246" s="8" t="s">
        <v>421</v>
      </c>
      <c r="L246" s="8"/>
      <c r="M246" s="8">
        <v>6</v>
      </c>
      <c r="O246" s="8" t="s">
        <v>130</v>
      </c>
      <c r="P246" s="8">
        <v>0.27</v>
      </c>
      <c r="Q246" s="8" t="s">
        <v>592</v>
      </c>
      <c r="R246" s="8" t="s">
        <v>660</v>
      </c>
      <c r="S246" s="8" t="s">
        <v>660</v>
      </c>
      <c r="T246" s="8" t="str">
        <f t="shared" si="1"/>
        <v>Y</v>
      </c>
    </row>
    <row r="247" spans="1:20" x14ac:dyDescent="0.2">
      <c r="A247" s="8" t="s">
        <v>347</v>
      </c>
      <c r="B247" s="8">
        <v>0.27200000000000002</v>
      </c>
      <c r="C247" s="8" t="s">
        <v>641</v>
      </c>
      <c r="D247" s="8" t="s">
        <v>425</v>
      </c>
      <c r="E247" s="8" t="s">
        <v>422</v>
      </c>
      <c r="F247" s="8" t="s">
        <v>525</v>
      </c>
      <c r="G247" s="8" t="s">
        <v>531</v>
      </c>
      <c r="H247" s="8" t="s">
        <v>420</v>
      </c>
      <c r="I247" s="8">
        <v>2</v>
      </c>
      <c r="J247" s="8">
        <v>0.27200000000000002</v>
      </c>
      <c r="K247" s="8" t="s">
        <v>421</v>
      </c>
      <c r="L247" s="8"/>
      <c r="M247" s="8">
        <v>6</v>
      </c>
      <c r="O247" s="8" t="s">
        <v>347</v>
      </c>
      <c r="P247" s="8">
        <v>0.27200000000000002</v>
      </c>
      <c r="Q247" s="8" t="s">
        <v>641</v>
      </c>
      <c r="R247" s="8" t="s">
        <v>659</v>
      </c>
      <c r="S247" s="8" t="s">
        <v>659</v>
      </c>
      <c r="T247" s="8" t="str">
        <f t="shared" si="1"/>
        <v>Y</v>
      </c>
    </row>
    <row r="248" spans="1:20" x14ac:dyDescent="0.2">
      <c r="A248" s="8" t="s">
        <v>20</v>
      </c>
      <c r="B248" s="8">
        <v>0.31000000000000005</v>
      </c>
      <c r="C248" s="8" t="s">
        <v>593</v>
      </c>
      <c r="D248" s="8" t="s">
        <v>425</v>
      </c>
      <c r="E248" s="8" t="s">
        <v>422</v>
      </c>
      <c r="F248" s="8" t="s">
        <v>525</v>
      </c>
      <c r="G248" s="8" t="s">
        <v>531</v>
      </c>
      <c r="H248" s="8" t="s">
        <v>420</v>
      </c>
      <c r="I248" s="8">
        <v>2</v>
      </c>
      <c r="J248" s="8">
        <v>0.31000000000000005</v>
      </c>
      <c r="K248" s="8" t="s">
        <v>421</v>
      </c>
      <c r="L248" s="8"/>
      <c r="M248" s="8">
        <v>6</v>
      </c>
      <c r="O248" s="8" t="s">
        <v>20</v>
      </c>
      <c r="P248" s="8">
        <v>0.31000000000000005</v>
      </c>
      <c r="Q248" s="8" t="s">
        <v>593</v>
      </c>
      <c r="R248" s="8" t="s">
        <v>659</v>
      </c>
      <c r="S248" s="8" t="s">
        <v>659</v>
      </c>
      <c r="T248" s="8" t="str">
        <f t="shared" si="1"/>
        <v>Y</v>
      </c>
    </row>
    <row r="249" spans="1:20" x14ac:dyDescent="0.2">
      <c r="A249" s="8" t="s">
        <v>275</v>
      </c>
      <c r="B249" s="8">
        <v>0.35000000000000009</v>
      </c>
      <c r="C249" s="8" t="s">
        <v>642</v>
      </c>
      <c r="D249" s="8" t="s">
        <v>425</v>
      </c>
      <c r="E249" s="8" t="s">
        <v>422</v>
      </c>
      <c r="F249" s="8" t="s">
        <v>525</v>
      </c>
      <c r="G249" s="8" t="s">
        <v>531</v>
      </c>
      <c r="H249" s="8" t="s">
        <v>420</v>
      </c>
      <c r="I249" s="8">
        <v>2</v>
      </c>
      <c r="J249" s="8">
        <v>0.35000000000000009</v>
      </c>
      <c r="K249" s="8" t="s">
        <v>421</v>
      </c>
      <c r="L249" s="8"/>
      <c r="M249" s="8">
        <v>6</v>
      </c>
      <c r="O249" s="8" t="s">
        <v>275</v>
      </c>
      <c r="P249" s="8">
        <v>0.35000000000000009</v>
      </c>
      <c r="Q249" s="8" t="s">
        <v>642</v>
      </c>
      <c r="R249" s="8" t="s">
        <v>659</v>
      </c>
      <c r="S249" s="8" t="s">
        <v>659</v>
      </c>
      <c r="T249" s="8" t="str">
        <f t="shared" si="1"/>
        <v>Y</v>
      </c>
    </row>
    <row r="250" spans="1:20" x14ac:dyDescent="0.2">
      <c r="A250" s="8" t="s">
        <v>217</v>
      </c>
      <c r="B250" s="8">
        <v>0.35500000000000009</v>
      </c>
      <c r="C250" s="8" t="s">
        <v>643</v>
      </c>
      <c r="D250" s="8" t="s">
        <v>425</v>
      </c>
      <c r="E250" s="8" t="s">
        <v>422</v>
      </c>
      <c r="F250" s="8" t="s">
        <v>525</v>
      </c>
      <c r="G250" s="8" t="s">
        <v>531</v>
      </c>
      <c r="H250" s="8" t="s">
        <v>420</v>
      </c>
      <c r="I250" s="8">
        <v>2</v>
      </c>
      <c r="J250" s="8">
        <v>0.35500000000000009</v>
      </c>
      <c r="K250" s="8" t="s">
        <v>421</v>
      </c>
      <c r="L250" s="8"/>
      <c r="M250" s="8">
        <v>6</v>
      </c>
      <c r="O250" s="8" t="s">
        <v>217</v>
      </c>
      <c r="P250" s="8">
        <v>0.35500000000000009</v>
      </c>
      <c r="Q250" s="8" t="s">
        <v>643</v>
      </c>
      <c r="R250" s="8" t="s">
        <v>659</v>
      </c>
      <c r="S250" s="8" t="s">
        <v>659</v>
      </c>
      <c r="T250" s="8" t="str">
        <f t="shared" si="1"/>
        <v>Y</v>
      </c>
    </row>
    <row r="251" spans="1:20" x14ac:dyDescent="0.2">
      <c r="A251" s="8" t="s">
        <v>31</v>
      </c>
      <c r="B251" s="8">
        <v>0.41700000000000004</v>
      </c>
      <c r="C251" s="8" t="s">
        <v>594</v>
      </c>
      <c r="D251" s="8" t="s">
        <v>425</v>
      </c>
      <c r="E251" s="8" t="s">
        <v>422</v>
      </c>
      <c r="F251" s="8" t="s">
        <v>525</v>
      </c>
      <c r="G251" s="8" t="s">
        <v>531</v>
      </c>
      <c r="H251" s="8" t="s">
        <v>420</v>
      </c>
      <c r="I251" s="8">
        <v>2</v>
      </c>
      <c r="J251" s="8">
        <v>0.41700000000000004</v>
      </c>
      <c r="K251" s="8" t="s">
        <v>421</v>
      </c>
      <c r="L251" s="8"/>
      <c r="M251" s="8">
        <v>6</v>
      </c>
      <c r="O251" s="8" t="s">
        <v>31</v>
      </c>
      <c r="P251" s="8">
        <v>0.41700000000000004</v>
      </c>
      <c r="Q251" s="8" t="s">
        <v>594</v>
      </c>
      <c r="R251" s="8" t="s">
        <v>660</v>
      </c>
      <c r="S251" s="8" t="s">
        <v>659</v>
      </c>
      <c r="T251" s="8" t="str">
        <f t="shared" si="1"/>
        <v>Y</v>
      </c>
    </row>
    <row r="252" spans="1:20" x14ac:dyDescent="0.2">
      <c r="A252" s="8" t="s">
        <v>75</v>
      </c>
      <c r="B252" s="8">
        <v>0.46200000000000008</v>
      </c>
      <c r="C252" s="8" t="s">
        <v>595</v>
      </c>
      <c r="D252" s="8" t="s">
        <v>425</v>
      </c>
      <c r="E252" s="8" t="s">
        <v>422</v>
      </c>
      <c r="F252" s="8" t="s">
        <v>525</v>
      </c>
      <c r="G252" s="8" t="s">
        <v>531</v>
      </c>
      <c r="H252" s="8" t="s">
        <v>420</v>
      </c>
      <c r="I252" s="8">
        <v>2</v>
      </c>
      <c r="J252" s="8">
        <v>0.46200000000000008</v>
      </c>
      <c r="K252" s="8" t="s">
        <v>421</v>
      </c>
      <c r="L252" s="8"/>
      <c r="M252" s="8">
        <v>6</v>
      </c>
      <c r="O252" s="8" t="s">
        <v>75</v>
      </c>
      <c r="P252" s="8">
        <v>0.46200000000000008</v>
      </c>
      <c r="Q252" s="8" t="s">
        <v>595</v>
      </c>
      <c r="R252" s="8" t="s">
        <v>659</v>
      </c>
      <c r="S252" s="8" t="s">
        <v>660</v>
      </c>
      <c r="T252" s="8" t="str">
        <f t="shared" si="1"/>
        <v>N</v>
      </c>
    </row>
    <row r="253" spans="1:20" x14ac:dyDescent="0.2">
      <c r="A253" s="8" t="s">
        <v>160</v>
      </c>
      <c r="B253" s="8">
        <v>0.47500000000000009</v>
      </c>
      <c r="C253" s="8" t="s">
        <v>596</v>
      </c>
      <c r="D253" s="8" t="s">
        <v>425</v>
      </c>
      <c r="E253" s="8" t="s">
        <v>422</v>
      </c>
      <c r="F253" s="8" t="s">
        <v>525</v>
      </c>
      <c r="G253" s="8" t="s">
        <v>531</v>
      </c>
      <c r="H253" s="8" t="s">
        <v>420</v>
      </c>
      <c r="I253" s="8">
        <v>2</v>
      </c>
      <c r="J253" s="8">
        <v>0.47500000000000009</v>
      </c>
      <c r="K253" s="8" t="s">
        <v>421</v>
      </c>
      <c r="L253" s="8"/>
      <c r="M253" s="8">
        <v>6</v>
      </c>
      <c r="O253" s="8" t="s">
        <v>160</v>
      </c>
      <c r="P253" s="8">
        <v>0.47500000000000009</v>
      </c>
      <c r="Q253" s="8" t="s">
        <v>596</v>
      </c>
      <c r="R253" s="8" t="s">
        <v>659</v>
      </c>
      <c r="S253" s="8" t="s">
        <v>659</v>
      </c>
      <c r="T253" s="8" t="str">
        <f t="shared" si="1"/>
        <v>Y</v>
      </c>
    </row>
    <row r="254" spans="1:20" x14ac:dyDescent="0.2">
      <c r="A254" s="8" t="s">
        <v>233</v>
      </c>
      <c r="B254" s="8">
        <v>0.52200000000000002</v>
      </c>
      <c r="C254" s="8" t="s">
        <v>644</v>
      </c>
      <c r="D254" s="8" t="s">
        <v>425</v>
      </c>
      <c r="E254" s="8" t="s">
        <v>422</v>
      </c>
      <c r="F254" s="8" t="s">
        <v>525</v>
      </c>
      <c r="G254" s="8" t="s">
        <v>531</v>
      </c>
      <c r="H254" s="8" t="s">
        <v>420</v>
      </c>
      <c r="I254" s="8">
        <v>2</v>
      </c>
      <c r="J254" s="8">
        <v>0.52200000000000002</v>
      </c>
      <c r="K254" s="8" t="s">
        <v>421</v>
      </c>
      <c r="L254" s="8"/>
      <c r="M254" s="8">
        <v>6</v>
      </c>
      <c r="O254" s="8" t="s">
        <v>233</v>
      </c>
      <c r="P254" s="8">
        <v>0.52200000000000002</v>
      </c>
      <c r="Q254" s="8" t="s">
        <v>644</v>
      </c>
      <c r="R254" s="8" t="s">
        <v>659</v>
      </c>
      <c r="S254" s="8" t="s">
        <v>659</v>
      </c>
      <c r="T254" s="8" t="str">
        <f t="shared" si="1"/>
        <v>Y</v>
      </c>
    </row>
    <row r="255" spans="1:20" x14ac:dyDescent="0.2">
      <c r="A255" s="8" t="s">
        <v>646</v>
      </c>
      <c r="B255" s="8">
        <v>0</v>
      </c>
      <c r="C255" s="8" t="s">
        <v>650</v>
      </c>
      <c r="D255" s="8" t="s">
        <v>425</v>
      </c>
      <c r="E255" s="8" t="s">
        <v>422</v>
      </c>
      <c r="F255" s="8" t="s">
        <v>526</v>
      </c>
      <c r="G255" s="8" t="s">
        <v>531</v>
      </c>
      <c r="H255" s="8" t="s">
        <v>420</v>
      </c>
      <c r="I255" s="8">
        <v>2</v>
      </c>
      <c r="J255" s="8">
        <v>0</v>
      </c>
      <c r="K255" s="8" t="s">
        <v>421</v>
      </c>
      <c r="L255" s="8"/>
      <c r="M255" s="8">
        <v>2</v>
      </c>
      <c r="O255" s="8" t="s">
        <v>646</v>
      </c>
      <c r="P255" s="8">
        <v>0</v>
      </c>
      <c r="Q255" s="8" t="s">
        <v>650</v>
      </c>
      <c r="R255" s="8" t="s">
        <v>660</v>
      </c>
      <c r="S255" s="8" t="s">
        <v>660</v>
      </c>
      <c r="T255" s="8" t="str">
        <f t="shared" si="1"/>
        <v>Y</v>
      </c>
    </row>
    <row r="256" spans="1:20" x14ac:dyDescent="0.2">
      <c r="A256" s="8" t="s">
        <v>645</v>
      </c>
      <c r="B256" s="8">
        <v>0</v>
      </c>
      <c r="C256" s="8" t="s">
        <v>651</v>
      </c>
      <c r="D256" s="8" t="s">
        <v>425</v>
      </c>
      <c r="E256" s="8" t="s">
        <v>422</v>
      </c>
      <c r="F256" s="8" t="s">
        <v>527</v>
      </c>
      <c r="G256" s="8" t="s">
        <v>531</v>
      </c>
      <c r="H256" s="8" t="s">
        <v>420</v>
      </c>
      <c r="I256" s="8">
        <v>2</v>
      </c>
      <c r="J256" s="8">
        <v>0</v>
      </c>
      <c r="K256" s="8" t="s">
        <v>421</v>
      </c>
      <c r="L256" s="8"/>
      <c r="M256" s="8">
        <v>3</v>
      </c>
      <c r="O256" s="8" t="s">
        <v>645</v>
      </c>
      <c r="P256" s="8">
        <v>0</v>
      </c>
      <c r="Q256" s="8" t="s">
        <v>651</v>
      </c>
      <c r="R256" s="8" t="s">
        <v>660</v>
      </c>
      <c r="S256" s="8" t="s">
        <v>660</v>
      </c>
      <c r="T256" s="8" t="str">
        <f t="shared" si="1"/>
        <v>Y</v>
      </c>
    </row>
    <row r="257" spans="1:21" x14ac:dyDescent="0.2">
      <c r="A257" s="8" t="s">
        <v>647</v>
      </c>
      <c r="B257" s="8">
        <v>0</v>
      </c>
      <c r="C257" s="8" t="s">
        <v>652</v>
      </c>
      <c r="D257" s="8" t="s">
        <v>425</v>
      </c>
      <c r="E257" s="8" t="s">
        <v>422</v>
      </c>
      <c r="F257" s="8" t="s">
        <v>528</v>
      </c>
      <c r="G257" s="8" t="s">
        <v>531</v>
      </c>
      <c r="H257" s="8" t="s">
        <v>420</v>
      </c>
      <c r="I257" s="8">
        <v>2</v>
      </c>
      <c r="J257" s="8">
        <v>0</v>
      </c>
      <c r="K257" s="8" t="s">
        <v>421</v>
      </c>
      <c r="L257" s="8"/>
      <c r="M257" s="8">
        <v>4</v>
      </c>
      <c r="O257" s="8" t="s">
        <v>647</v>
      </c>
      <c r="P257" s="8">
        <v>0</v>
      </c>
      <c r="Q257" s="8" t="s">
        <v>652</v>
      </c>
      <c r="R257" s="8" t="s">
        <v>660</v>
      </c>
      <c r="S257" s="8" t="s">
        <v>660</v>
      </c>
      <c r="T257" s="8" t="str">
        <f t="shared" si="1"/>
        <v>Y</v>
      </c>
    </row>
    <row r="258" spans="1:21" x14ac:dyDescent="0.2">
      <c r="A258" s="8" t="s">
        <v>648</v>
      </c>
      <c r="B258" s="8">
        <v>0</v>
      </c>
      <c r="C258" s="8" t="s">
        <v>653</v>
      </c>
      <c r="D258" s="8" t="s">
        <v>425</v>
      </c>
      <c r="E258" s="8" t="s">
        <v>422</v>
      </c>
      <c r="F258" s="8" t="s">
        <v>529</v>
      </c>
      <c r="G258" s="8" t="s">
        <v>531</v>
      </c>
      <c r="H258" s="8" t="s">
        <v>420</v>
      </c>
      <c r="I258" s="8">
        <v>2</v>
      </c>
      <c r="J258" s="8">
        <v>0</v>
      </c>
      <c r="K258" s="8" t="s">
        <v>421</v>
      </c>
      <c r="L258" s="8"/>
      <c r="M258" s="8">
        <v>5</v>
      </c>
      <c r="O258" s="8" t="s">
        <v>648</v>
      </c>
      <c r="P258" s="8">
        <v>0</v>
      </c>
      <c r="Q258" s="8" t="s">
        <v>653</v>
      </c>
      <c r="R258" s="8" t="s">
        <v>660</v>
      </c>
      <c r="S258" s="8" t="s">
        <v>660</v>
      </c>
      <c r="T258" s="8" t="str">
        <f t="shared" si="1"/>
        <v>Y</v>
      </c>
    </row>
    <row r="259" spans="1:21" x14ac:dyDescent="0.2">
      <c r="A259" s="8" t="s">
        <v>649</v>
      </c>
      <c r="B259" s="8">
        <v>0</v>
      </c>
      <c r="C259" s="8" t="s">
        <v>654</v>
      </c>
      <c r="D259" s="8" t="s">
        <v>425</v>
      </c>
      <c r="E259" s="8" t="s">
        <v>422</v>
      </c>
      <c r="F259" s="8" t="s">
        <v>530</v>
      </c>
      <c r="G259" s="8" t="s">
        <v>531</v>
      </c>
      <c r="H259" s="8" t="s">
        <v>420</v>
      </c>
      <c r="I259" s="8">
        <v>2</v>
      </c>
      <c r="J259" s="8">
        <v>0</v>
      </c>
      <c r="K259" s="8" t="s">
        <v>421</v>
      </c>
      <c r="L259" s="8"/>
      <c r="M259" s="8">
        <v>6</v>
      </c>
      <c r="O259" s="8" t="s">
        <v>649</v>
      </c>
      <c r="P259" s="8">
        <v>0</v>
      </c>
      <c r="Q259" s="8" t="s">
        <v>654</v>
      </c>
      <c r="R259" s="8" t="s">
        <v>660</v>
      </c>
      <c r="S259" s="8" t="s">
        <v>660</v>
      </c>
      <c r="T259" s="8" t="str">
        <f t="shared" si="1"/>
        <v>Y</v>
      </c>
    </row>
    <row r="262" spans="1:21" x14ac:dyDescent="0.2">
      <c r="O262" s="20" t="s">
        <v>663</v>
      </c>
    </row>
    <row r="263" spans="1:21" x14ac:dyDescent="0.2">
      <c r="O263" s="21" t="s">
        <v>0</v>
      </c>
      <c r="P263" s="8" t="s">
        <v>400</v>
      </c>
      <c r="Q263" s="8" t="s">
        <v>410</v>
      </c>
      <c r="R263" s="8" t="s">
        <v>656</v>
      </c>
      <c r="S263" s="8" t="s">
        <v>657</v>
      </c>
      <c r="T263" s="8" t="s">
        <v>658</v>
      </c>
      <c r="U263" s="8" t="s">
        <v>662</v>
      </c>
    </row>
    <row r="264" spans="1:21" x14ac:dyDescent="0.2">
      <c r="O264" s="8" t="s">
        <v>380</v>
      </c>
      <c r="P264" s="8">
        <v>4.0999999999999981E-2</v>
      </c>
      <c r="Q264" s="8" t="s">
        <v>474</v>
      </c>
      <c r="R264" s="8" t="s">
        <v>659</v>
      </c>
      <c r="S264" s="8" t="s">
        <v>659</v>
      </c>
      <c r="T264" s="8" t="str">
        <f>IF(OR(R264="N",S264="Y"), "Y", "N")</f>
        <v>Y</v>
      </c>
      <c r="U264" s="8" t="s">
        <v>659</v>
      </c>
    </row>
    <row r="265" spans="1:21" x14ac:dyDescent="0.2">
      <c r="O265" s="8" t="s">
        <v>35</v>
      </c>
      <c r="P265" s="8">
        <v>0.15599999999999997</v>
      </c>
      <c r="Q265" s="8" t="s">
        <v>493</v>
      </c>
      <c r="R265" t="s">
        <v>659</v>
      </c>
      <c r="S265" s="8" t="s">
        <v>659</v>
      </c>
      <c r="T265" s="8" t="str">
        <f t="shared" ref="T265:T286" si="2">IF(OR(R265="N",S265="Y"), "Y", "N")</f>
        <v>Y</v>
      </c>
      <c r="U265" s="8"/>
    </row>
    <row r="266" spans="1:21" x14ac:dyDescent="0.2">
      <c r="O266" s="8" t="s">
        <v>254</v>
      </c>
      <c r="P266" s="8">
        <v>0.18099999999999999</v>
      </c>
      <c r="Q266" s="8" t="s">
        <v>473</v>
      </c>
      <c r="R266" s="8" t="s">
        <v>659</v>
      </c>
      <c r="S266" s="8" t="s">
        <v>659</v>
      </c>
      <c r="T266" s="8" t="str">
        <f t="shared" si="2"/>
        <v>Y</v>
      </c>
      <c r="U266" s="8" t="s">
        <v>659</v>
      </c>
    </row>
    <row r="267" spans="1:21" x14ac:dyDescent="0.2">
      <c r="O267" s="8" t="s">
        <v>37</v>
      </c>
      <c r="P267" s="8">
        <v>0.20199999999999996</v>
      </c>
      <c r="Q267" s="8" t="s">
        <v>484</v>
      </c>
      <c r="R267" s="8" t="s">
        <v>659</v>
      </c>
      <c r="S267" s="8" t="s">
        <v>659</v>
      </c>
      <c r="T267" s="8" t="str">
        <f t="shared" si="2"/>
        <v>Y</v>
      </c>
      <c r="U267" s="8"/>
    </row>
    <row r="268" spans="1:21" x14ac:dyDescent="0.2">
      <c r="O268" s="8" t="s">
        <v>84</v>
      </c>
      <c r="P268" s="8">
        <v>0.21199999999999997</v>
      </c>
      <c r="Q268" s="8" t="s">
        <v>485</v>
      </c>
      <c r="R268" s="8"/>
      <c r="S268" s="8"/>
      <c r="T268" s="8" t="s">
        <v>659</v>
      </c>
      <c r="U268" s="8"/>
    </row>
    <row r="269" spans="1:21" x14ac:dyDescent="0.2">
      <c r="O269" s="8" t="s">
        <v>169</v>
      </c>
      <c r="P269" s="8">
        <v>0.21599999999999997</v>
      </c>
      <c r="Q269" s="8" t="s">
        <v>491</v>
      </c>
      <c r="R269" s="8" t="s">
        <v>660</v>
      </c>
      <c r="S269" s="8" t="s">
        <v>659</v>
      </c>
      <c r="T269" s="8" t="str">
        <f t="shared" si="2"/>
        <v>Y</v>
      </c>
      <c r="U269" s="8"/>
    </row>
    <row r="270" spans="1:21" x14ac:dyDescent="0.2">
      <c r="O270" s="8" t="s">
        <v>49</v>
      </c>
      <c r="P270" s="8">
        <v>0.22399999999999998</v>
      </c>
      <c r="Q270" s="8" t="s">
        <v>495</v>
      </c>
      <c r="R270" s="8" t="s">
        <v>659</v>
      </c>
      <c r="S270" s="8" t="s">
        <v>659</v>
      </c>
      <c r="T270" s="8" t="str">
        <f t="shared" si="2"/>
        <v>Y</v>
      </c>
      <c r="U270" s="8"/>
    </row>
    <row r="271" spans="1:21" x14ac:dyDescent="0.2">
      <c r="O271" s="8" t="s">
        <v>365</v>
      </c>
      <c r="P271" s="8">
        <v>0.22399999999999998</v>
      </c>
      <c r="Q271" s="8" t="s">
        <v>475</v>
      </c>
      <c r="R271" s="8" t="s">
        <v>659</v>
      </c>
      <c r="S271" s="8" t="s">
        <v>659</v>
      </c>
      <c r="T271" s="8" t="str">
        <f t="shared" si="2"/>
        <v>Y</v>
      </c>
      <c r="U271" s="8"/>
    </row>
    <row r="272" spans="1:21" x14ac:dyDescent="0.2">
      <c r="O272" s="8" t="s">
        <v>329</v>
      </c>
      <c r="P272" s="8">
        <v>0.24399999999999999</v>
      </c>
      <c r="Q272" s="8" t="s">
        <v>482</v>
      </c>
      <c r="R272" s="8" t="s">
        <v>659</v>
      </c>
      <c r="S272" s="8" t="s">
        <v>659</v>
      </c>
      <c r="T272" s="8" t="str">
        <f t="shared" si="2"/>
        <v>Y</v>
      </c>
      <c r="U272" s="8"/>
    </row>
    <row r="273" spans="15:21" x14ac:dyDescent="0.2">
      <c r="O273" s="8" t="s">
        <v>41</v>
      </c>
      <c r="P273" s="8">
        <v>0.27600000000000002</v>
      </c>
      <c r="Q273" s="8" t="s">
        <v>495</v>
      </c>
      <c r="R273" s="8" t="s">
        <v>659</v>
      </c>
      <c r="S273" s="8" t="s">
        <v>659</v>
      </c>
      <c r="T273" s="8" t="str">
        <f t="shared" si="2"/>
        <v>Y</v>
      </c>
      <c r="U273" s="8"/>
    </row>
    <row r="274" spans="15:21" x14ac:dyDescent="0.2">
      <c r="O274" s="8" t="s">
        <v>269</v>
      </c>
      <c r="P274" s="8">
        <v>0.27600000000000002</v>
      </c>
      <c r="Q274" s="8" t="s">
        <v>476</v>
      </c>
      <c r="R274" s="8" t="s">
        <v>659</v>
      </c>
      <c r="S274" s="8" t="s">
        <v>659</v>
      </c>
      <c r="T274" s="8" t="str">
        <f t="shared" si="2"/>
        <v>Y</v>
      </c>
      <c r="U274" s="8"/>
    </row>
    <row r="275" spans="15:21" x14ac:dyDescent="0.2">
      <c r="O275" s="8" t="s">
        <v>18</v>
      </c>
      <c r="P275" s="8">
        <v>0.32199999999999995</v>
      </c>
      <c r="Q275" s="8" t="s">
        <v>489</v>
      </c>
      <c r="R275" s="8" t="s">
        <v>659</v>
      </c>
      <c r="S275" s="8" t="s">
        <v>659</v>
      </c>
      <c r="T275" s="8" t="str">
        <f t="shared" si="2"/>
        <v>Y</v>
      </c>
      <c r="U275" s="8"/>
    </row>
    <row r="276" spans="15:21" x14ac:dyDescent="0.2">
      <c r="O276" s="8" t="s">
        <v>211</v>
      </c>
      <c r="P276" s="8">
        <v>0.33699999999999997</v>
      </c>
      <c r="Q276" s="8" t="s">
        <v>490</v>
      </c>
      <c r="R276" s="8" t="s">
        <v>659</v>
      </c>
      <c r="S276" s="8" t="s">
        <v>659</v>
      </c>
      <c r="T276" s="8" t="str">
        <f t="shared" si="2"/>
        <v>Y</v>
      </c>
      <c r="U276" s="8"/>
    </row>
    <row r="277" spans="15:21" x14ac:dyDescent="0.2">
      <c r="O277" s="8" t="s">
        <v>377</v>
      </c>
      <c r="P277" s="8">
        <v>0.36799999999999999</v>
      </c>
      <c r="Q277" s="8" t="s">
        <v>479</v>
      </c>
      <c r="R277" s="8" t="s">
        <v>659</v>
      </c>
      <c r="S277" s="8" t="s">
        <v>659</v>
      </c>
      <c r="T277" s="8" t="str">
        <f t="shared" si="2"/>
        <v>Y</v>
      </c>
      <c r="U277" s="8"/>
    </row>
    <row r="278" spans="15:21" x14ac:dyDescent="0.2">
      <c r="O278" s="8" t="s">
        <v>202</v>
      </c>
      <c r="P278" s="8">
        <v>0.38800000000000001</v>
      </c>
      <c r="Q278" s="8" t="s">
        <v>494</v>
      </c>
      <c r="R278" s="8"/>
      <c r="S278" s="8"/>
      <c r="T278" s="8" t="s">
        <v>659</v>
      </c>
      <c r="U278" s="8"/>
    </row>
    <row r="279" spans="15:21" x14ac:dyDescent="0.2">
      <c r="O279" s="8" t="s">
        <v>362</v>
      </c>
      <c r="P279" s="8">
        <v>0.46099999999999997</v>
      </c>
      <c r="Q279" s="8" t="s">
        <v>477</v>
      </c>
      <c r="R279" s="8" t="s">
        <v>659</v>
      </c>
      <c r="S279" s="8" t="s">
        <v>659</v>
      </c>
      <c r="T279" s="8" t="str">
        <f t="shared" si="2"/>
        <v>Y</v>
      </c>
      <c r="U279" s="8" t="s">
        <v>659</v>
      </c>
    </row>
    <row r="280" spans="15:21" x14ac:dyDescent="0.2">
      <c r="O280" s="8" t="s">
        <v>124</v>
      </c>
      <c r="P280" s="8">
        <v>0.46099999999999997</v>
      </c>
      <c r="Q280" s="8" t="s">
        <v>487</v>
      </c>
      <c r="R280" s="8" t="s">
        <v>659</v>
      </c>
      <c r="S280" s="8" t="s">
        <v>659</v>
      </c>
      <c r="T280" s="8" t="str">
        <f t="shared" si="2"/>
        <v>Y</v>
      </c>
      <c r="U280" s="8"/>
    </row>
    <row r="281" spans="15:21" x14ac:dyDescent="0.2">
      <c r="O281" s="8" t="s">
        <v>296</v>
      </c>
      <c r="P281" s="8">
        <v>0.48099999999999998</v>
      </c>
      <c r="Q281" s="8" t="s">
        <v>480</v>
      </c>
      <c r="R281" s="8" t="s">
        <v>659</v>
      </c>
      <c r="S281" s="8" t="s">
        <v>659</v>
      </c>
      <c r="T281" s="8" t="str">
        <f t="shared" si="2"/>
        <v>Y</v>
      </c>
      <c r="U281" s="8"/>
    </row>
    <row r="282" spans="15:21" x14ac:dyDescent="0.2">
      <c r="O282" s="8" t="s">
        <v>157</v>
      </c>
      <c r="P282" s="8">
        <v>0.49399999999999999</v>
      </c>
      <c r="Q282" s="8" t="s">
        <v>488</v>
      </c>
      <c r="R282" s="8" t="s">
        <v>659</v>
      </c>
      <c r="S282" s="8" t="s">
        <v>659</v>
      </c>
      <c r="T282" s="8" t="str">
        <f t="shared" si="2"/>
        <v>Y</v>
      </c>
      <c r="U282" s="8"/>
    </row>
    <row r="283" spans="15:21" x14ac:dyDescent="0.2">
      <c r="O283" s="8" t="s">
        <v>154</v>
      </c>
      <c r="P283" s="8">
        <v>0.53399999999999992</v>
      </c>
      <c r="Q283" s="8" t="s">
        <v>486</v>
      </c>
      <c r="R283" s="8" t="s">
        <v>659</v>
      </c>
      <c r="S283" s="8" t="s">
        <v>659</v>
      </c>
      <c r="T283" s="8" t="str">
        <f t="shared" si="2"/>
        <v>Y</v>
      </c>
      <c r="U283" s="8"/>
    </row>
    <row r="284" spans="15:21" x14ac:dyDescent="0.2">
      <c r="O284" s="8" t="s">
        <v>272</v>
      </c>
      <c r="P284" s="8">
        <v>0.82100000000000006</v>
      </c>
      <c r="Q284" s="8" t="s">
        <v>478</v>
      </c>
      <c r="R284" s="8" t="s">
        <v>659</v>
      </c>
      <c r="S284" s="8" t="s">
        <v>659</v>
      </c>
      <c r="T284" s="8" t="str">
        <f t="shared" si="2"/>
        <v>Y</v>
      </c>
      <c r="U284" s="8" t="s">
        <v>659</v>
      </c>
    </row>
    <row r="285" spans="15:21" x14ac:dyDescent="0.2">
      <c r="O285" s="8" t="s">
        <v>344</v>
      </c>
      <c r="P285" s="8">
        <v>1.0009999999999999</v>
      </c>
      <c r="Q285" s="8" t="s">
        <v>481</v>
      </c>
      <c r="R285" s="8" t="s">
        <v>659</v>
      </c>
      <c r="S285" s="8" t="s">
        <v>659</v>
      </c>
      <c r="T285" s="8" t="str">
        <f t="shared" si="2"/>
        <v>Y</v>
      </c>
      <c r="U285" s="8"/>
    </row>
    <row r="286" spans="15:21" x14ac:dyDescent="0.2">
      <c r="O286" s="8" t="s">
        <v>356</v>
      </c>
      <c r="P286" s="8">
        <v>1.331</v>
      </c>
      <c r="Q286" s="8" t="s">
        <v>483</v>
      </c>
      <c r="R286" s="8" t="s">
        <v>659</v>
      </c>
      <c r="S286" s="8" t="s">
        <v>659</v>
      </c>
      <c r="T286" s="8" t="str">
        <f t="shared" si="2"/>
        <v>Y</v>
      </c>
      <c r="U286" s="8"/>
    </row>
  </sheetData>
  <autoFilter ref="A1:S138" xr:uid="{F908C26B-7DEA-504F-990D-1319731FB7EB}"/>
  <sortState xmlns:xlrd2="http://schemas.microsoft.com/office/spreadsheetml/2017/richdata2" ref="A2:S138">
    <sortCondition ref="J2:J138"/>
  </sortState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332E3-63A9-CE47-A604-74083819F992}">
  <dimension ref="A1:K265"/>
  <sheetViews>
    <sheetView topLeftCell="A54" zoomScale="75" zoomScaleNormal="138" workbookViewId="0">
      <selection activeCell="A2" sqref="A2:A127"/>
    </sheetView>
  </sheetViews>
  <sheetFormatPr baseColWidth="10" defaultRowHeight="15" x14ac:dyDescent="0.2"/>
  <cols>
    <col min="1" max="1" width="50.33203125" bestFit="1" customWidth="1"/>
    <col min="2" max="2" width="29.33203125" bestFit="1" customWidth="1"/>
    <col min="3" max="3" width="50.33203125" bestFit="1" customWidth="1"/>
    <col min="4" max="4" width="22.33203125" style="8" bestFit="1" customWidth="1"/>
    <col min="5" max="5" width="18.5" style="8" bestFit="1" customWidth="1"/>
    <col min="6" max="6" width="26.6640625" bestFit="1" customWidth="1"/>
    <col min="7" max="7" width="39.83203125" bestFit="1" customWidth="1"/>
    <col min="8" max="8" width="22" bestFit="1" customWidth="1"/>
    <col min="9" max="10" width="39.33203125" bestFit="1" customWidth="1"/>
    <col min="11" max="11" width="30.1640625" bestFit="1" customWidth="1"/>
  </cols>
  <sheetData>
    <row r="1" spans="1:11" x14ac:dyDescent="0.2">
      <c r="A1" s="21" t="s">
        <v>0</v>
      </c>
      <c r="B1" s="8" t="s">
        <v>400</v>
      </c>
      <c r="C1" s="22" t="s">
        <v>410</v>
      </c>
      <c r="D1" s="8" t="s">
        <v>664</v>
      </c>
      <c r="E1" s="8" t="s">
        <v>789</v>
      </c>
      <c r="F1" s="8" t="s">
        <v>790</v>
      </c>
      <c r="G1" s="8" t="s">
        <v>791</v>
      </c>
      <c r="H1" s="18" t="s">
        <v>792</v>
      </c>
      <c r="I1" s="18" t="s">
        <v>793</v>
      </c>
      <c r="J1" s="18" t="s">
        <v>794</v>
      </c>
      <c r="K1" s="18" t="s">
        <v>795</v>
      </c>
    </row>
    <row r="2" spans="1:11" x14ac:dyDescent="0.2">
      <c r="A2" s="8" t="s">
        <v>35</v>
      </c>
      <c r="B2" s="8">
        <v>0.15599999999999997</v>
      </c>
      <c r="C2" s="22" t="s">
        <v>493</v>
      </c>
      <c r="D2" s="8" t="s">
        <v>665</v>
      </c>
      <c r="E2" s="8">
        <v>34</v>
      </c>
      <c r="F2" s="8">
        <v>1</v>
      </c>
      <c r="G2" s="8">
        <f>50-E2</f>
        <v>16</v>
      </c>
      <c r="H2">
        <v>0.10199999999999999</v>
      </c>
      <c r="I2">
        <f>H2*20</f>
        <v>2.04</v>
      </c>
      <c r="J2">
        <f>H2*15</f>
        <v>1.5299999999999998</v>
      </c>
      <c r="K2" s="8" t="s">
        <v>665</v>
      </c>
    </row>
    <row r="3" spans="1:11" x14ac:dyDescent="0.2">
      <c r="A3" s="8" t="s">
        <v>37</v>
      </c>
      <c r="B3" s="8">
        <v>0.20199999999999996</v>
      </c>
      <c r="C3" s="22" t="s">
        <v>484</v>
      </c>
      <c r="D3" s="8" t="s">
        <v>666</v>
      </c>
      <c r="E3" s="8">
        <v>36</v>
      </c>
      <c r="F3" s="8">
        <v>1</v>
      </c>
      <c r="G3" s="8">
        <f t="shared" ref="G3:G66" si="0">50-E3</f>
        <v>14</v>
      </c>
      <c r="H3">
        <v>0.10299999999999999</v>
      </c>
      <c r="I3">
        <f t="shared" ref="I3:I66" si="1">H3*20</f>
        <v>2.06</v>
      </c>
      <c r="J3">
        <f t="shared" ref="J3:J66" si="2">H3*15</f>
        <v>1.5449999999999999</v>
      </c>
      <c r="K3" s="8" t="s">
        <v>666</v>
      </c>
    </row>
    <row r="4" spans="1:11" x14ac:dyDescent="0.2">
      <c r="A4" s="8" t="s">
        <v>84</v>
      </c>
      <c r="B4" s="8">
        <v>0.21199999999999997</v>
      </c>
      <c r="C4" s="22" t="s">
        <v>485</v>
      </c>
      <c r="D4" s="8" t="s">
        <v>667</v>
      </c>
      <c r="E4" s="8">
        <v>38</v>
      </c>
      <c r="F4" s="8">
        <v>1</v>
      </c>
      <c r="G4" s="8">
        <f t="shared" si="0"/>
        <v>12</v>
      </c>
      <c r="H4">
        <v>0.14299999999999999</v>
      </c>
      <c r="I4">
        <f t="shared" si="1"/>
        <v>2.86</v>
      </c>
      <c r="J4">
        <f t="shared" si="2"/>
        <v>2.145</v>
      </c>
      <c r="K4" s="8" t="s">
        <v>667</v>
      </c>
    </row>
    <row r="5" spans="1:11" x14ac:dyDescent="0.2">
      <c r="A5" s="8" t="s">
        <v>169</v>
      </c>
      <c r="B5" s="8">
        <v>0.21599999999999997</v>
      </c>
      <c r="C5" s="22" t="s">
        <v>491</v>
      </c>
      <c r="D5" s="8" t="s">
        <v>668</v>
      </c>
      <c r="E5" s="8">
        <v>37</v>
      </c>
      <c r="F5" s="8">
        <v>1</v>
      </c>
      <c r="G5" s="8">
        <f t="shared" si="0"/>
        <v>13</v>
      </c>
      <c r="H5">
        <v>0.11899999999999999</v>
      </c>
      <c r="I5">
        <f t="shared" si="1"/>
        <v>2.38</v>
      </c>
      <c r="J5">
        <f t="shared" si="2"/>
        <v>1.7849999999999999</v>
      </c>
      <c r="K5" s="8" t="s">
        <v>668</v>
      </c>
    </row>
    <row r="6" spans="1:11" x14ac:dyDescent="0.2">
      <c r="A6" s="8" t="s">
        <v>49</v>
      </c>
      <c r="B6" s="8">
        <v>0.22399999999999998</v>
      </c>
      <c r="C6" s="22" t="s">
        <v>495</v>
      </c>
      <c r="D6" s="8" t="s">
        <v>669</v>
      </c>
      <c r="E6" s="8">
        <v>38</v>
      </c>
      <c r="F6" s="8">
        <v>1</v>
      </c>
      <c r="G6" s="8">
        <f t="shared" si="0"/>
        <v>12</v>
      </c>
      <c r="H6">
        <v>0.13700000000000001</v>
      </c>
      <c r="I6">
        <f t="shared" si="1"/>
        <v>2.74</v>
      </c>
      <c r="J6">
        <f t="shared" si="2"/>
        <v>2.0550000000000002</v>
      </c>
      <c r="K6" s="8" t="s">
        <v>669</v>
      </c>
    </row>
    <row r="7" spans="1:11" x14ac:dyDescent="0.2">
      <c r="A7" s="8" t="s">
        <v>365</v>
      </c>
      <c r="B7" s="8">
        <v>0.22399999999999998</v>
      </c>
      <c r="C7" s="22" t="s">
        <v>475</v>
      </c>
      <c r="D7" s="8" t="s">
        <v>670</v>
      </c>
      <c r="E7" s="8">
        <v>36</v>
      </c>
      <c r="F7" s="8">
        <v>1</v>
      </c>
      <c r="G7" s="8">
        <f t="shared" si="0"/>
        <v>14</v>
      </c>
      <c r="H7">
        <v>0.123</v>
      </c>
      <c r="I7">
        <f t="shared" si="1"/>
        <v>2.46</v>
      </c>
      <c r="J7">
        <f t="shared" si="2"/>
        <v>1.845</v>
      </c>
      <c r="K7" s="8" t="s">
        <v>670</v>
      </c>
    </row>
    <row r="8" spans="1:11" x14ac:dyDescent="0.2">
      <c r="A8" s="8" t="s">
        <v>329</v>
      </c>
      <c r="B8" s="8">
        <v>0.24399999999999999</v>
      </c>
      <c r="C8" s="22" t="s">
        <v>482</v>
      </c>
      <c r="D8" s="8" t="s">
        <v>671</v>
      </c>
      <c r="E8" s="8">
        <v>37</v>
      </c>
      <c r="F8" s="8">
        <v>1</v>
      </c>
      <c r="G8" s="8">
        <f t="shared" si="0"/>
        <v>13</v>
      </c>
      <c r="H8">
        <v>0.11600000000000001</v>
      </c>
      <c r="I8">
        <f t="shared" si="1"/>
        <v>2.3200000000000003</v>
      </c>
      <c r="J8">
        <f t="shared" si="2"/>
        <v>1.74</v>
      </c>
      <c r="K8" s="8" t="s">
        <v>671</v>
      </c>
    </row>
    <row r="9" spans="1:11" x14ac:dyDescent="0.2">
      <c r="A9" s="8" t="s">
        <v>41</v>
      </c>
      <c r="B9" s="8">
        <v>0.27600000000000002</v>
      </c>
      <c r="C9" s="22" t="s">
        <v>495</v>
      </c>
      <c r="D9" s="8" t="s">
        <v>672</v>
      </c>
      <c r="E9" s="8">
        <v>34</v>
      </c>
      <c r="F9" s="8">
        <v>1</v>
      </c>
      <c r="G9" s="8">
        <f t="shared" si="0"/>
        <v>16</v>
      </c>
      <c r="H9">
        <v>0.08</v>
      </c>
      <c r="I9">
        <f t="shared" si="1"/>
        <v>1.6</v>
      </c>
      <c r="J9">
        <f t="shared" si="2"/>
        <v>1.2</v>
      </c>
      <c r="K9" s="8" t="s">
        <v>672</v>
      </c>
    </row>
    <row r="10" spans="1:11" x14ac:dyDescent="0.2">
      <c r="A10" s="8" t="s">
        <v>269</v>
      </c>
      <c r="B10" s="8">
        <v>0.27600000000000002</v>
      </c>
      <c r="C10" s="22" t="s">
        <v>476</v>
      </c>
      <c r="D10" s="8" t="s">
        <v>673</v>
      </c>
      <c r="E10" s="8">
        <v>37</v>
      </c>
      <c r="F10" s="8">
        <v>1</v>
      </c>
      <c r="G10" s="8">
        <f t="shared" si="0"/>
        <v>13</v>
      </c>
      <c r="H10">
        <v>0.14000000000000001</v>
      </c>
      <c r="I10">
        <f t="shared" si="1"/>
        <v>2.8000000000000003</v>
      </c>
      <c r="J10">
        <f t="shared" si="2"/>
        <v>2.1</v>
      </c>
      <c r="K10" s="8" t="s">
        <v>673</v>
      </c>
    </row>
    <row r="11" spans="1:11" x14ac:dyDescent="0.2">
      <c r="A11" s="8" t="s">
        <v>18</v>
      </c>
      <c r="B11" s="8">
        <v>0.32199999999999995</v>
      </c>
      <c r="C11" s="22" t="s">
        <v>489</v>
      </c>
      <c r="D11" s="8" t="s">
        <v>674</v>
      </c>
      <c r="E11" s="8">
        <v>37</v>
      </c>
      <c r="F11" s="8">
        <v>1</v>
      </c>
      <c r="G11" s="8">
        <f t="shared" si="0"/>
        <v>13</v>
      </c>
      <c r="H11">
        <v>0.127</v>
      </c>
      <c r="I11">
        <f t="shared" si="1"/>
        <v>2.54</v>
      </c>
      <c r="J11">
        <f t="shared" si="2"/>
        <v>1.905</v>
      </c>
      <c r="K11" s="8" t="s">
        <v>674</v>
      </c>
    </row>
    <row r="12" spans="1:11" x14ac:dyDescent="0.2">
      <c r="A12" s="8" t="s">
        <v>211</v>
      </c>
      <c r="B12" s="8">
        <v>0.33699999999999997</v>
      </c>
      <c r="C12" s="22" t="s">
        <v>490</v>
      </c>
      <c r="D12" s="8" t="s">
        <v>675</v>
      </c>
      <c r="E12" s="8">
        <v>36</v>
      </c>
      <c r="F12" s="8">
        <v>1</v>
      </c>
      <c r="G12" s="8">
        <f t="shared" si="0"/>
        <v>14</v>
      </c>
      <c r="H12">
        <v>0.14099999999999999</v>
      </c>
      <c r="I12">
        <f t="shared" si="1"/>
        <v>2.82</v>
      </c>
      <c r="J12">
        <f t="shared" si="2"/>
        <v>2.1149999999999998</v>
      </c>
      <c r="K12" s="8" t="s">
        <v>675</v>
      </c>
    </row>
    <row r="13" spans="1:11" x14ac:dyDescent="0.2">
      <c r="A13" s="8" t="s">
        <v>377</v>
      </c>
      <c r="B13" s="8">
        <v>0.36799999999999999</v>
      </c>
      <c r="C13" s="22" t="s">
        <v>479</v>
      </c>
      <c r="D13" s="8" t="s">
        <v>676</v>
      </c>
      <c r="E13" s="8">
        <v>35</v>
      </c>
      <c r="F13" s="8">
        <v>1</v>
      </c>
      <c r="G13" s="8">
        <f t="shared" si="0"/>
        <v>15</v>
      </c>
      <c r="H13">
        <v>0.111</v>
      </c>
      <c r="I13">
        <f t="shared" si="1"/>
        <v>2.2200000000000002</v>
      </c>
      <c r="J13">
        <f t="shared" si="2"/>
        <v>1.665</v>
      </c>
      <c r="K13" s="8" t="s">
        <v>676</v>
      </c>
    </row>
    <row r="14" spans="1:11" x14ac:dyDescent="0.2">
      <c r="A14" s="8" t="s">
        <v>202</v>
      </c>
      <c r="B14" s="8">
        <v>0.38800000000000001</v>
      </c>
      <c r="C14" s="22" t="s">
        <v>494</v>
      </c>
      <c r="D14" s="8" t="s">
        <v>677</v>
      </c>
      <c r="E14" s="8">
        <v>36</v>
      </c>
      <c r="F14" s="8">
        <v>1</v>
      </c>
      <c r="G14" s="8">
        <f t="shared" si="0"/>
        <v>14</v>
      </c>
      <c r="H14">
        <v>0.151</v>
      </c>
      <c r="I14">
        <f t="shared" si="1"/>
        <v>3.02</v>
      </c>
      <c r="J14">
        <f t="shared" si="2"/>
        <v>2.2650000000000001</v>
      </c>
      <c r="K14" s="8" t="s">
        <v>677</v>
      </c>
    </row>
    <row r="15" spans="1:11" x14ac:dyDescent="0.2">
      <c r="A15" s="8" t="s">
        <v>124</v>
      </c>
      <c r="B15" s="8">
        <v>0.46099999999999997</v>
      </c>
      <c r="C15" s="22" t="s">
        <v>487</v>
      </c>
      <c r="D15" s="8" t="s">
        <v>678</v>
      </c>
      <c r="E15" s="8">
        <v>37</v>
      </c>
      <c r="F15" s="8">
        <v>1</v>
      </c>
      <c r="G15" s="8">
        <f t="shared" si="0"/>
        <v>13</v>
      </c>
      <c r="H15">
        <v>0.20200000000000001</v>
      </c>
      <c r="I15">
        <f t="shared" si="1"/>
        <v>4.04</v>
      </c>
      <c r="J15">
        <f t="shared" si="2"/>
        <v>3.0300000000000002</v>
      </c>
      <c r="K15" s="8" t="s">
        <v>678</v>
      </c>
    </row>
    <row r="16" spans="1:11" x14ac:dyDescent="0.2">
      <c r="A16" s="8" t="s">
        <v>296</v>
      </c>
      <c r="B16" s="8">
        <v>0.48099999999999998</v>
      </c>
      <c r="C16" s="22" t="s">
        <v>480</v>
      </c>
      <c r="D16" s="8" t="s">
        <v>679</v>
      </c>
      <c r="E16" s="8">
        <v>35</v>
      </c>
      <c r="F16" s="8">
        <v>1</v>
      </c>
      <c r="G16" s="8">
        <f t="shared" si="0"/>
        <v>15</v>
      </c>
      <c r="H16">
        <v>0.124</v>
      </c>
      <c r="I16">
        <f t="shared" si="1"/>
        <v>2.48</v>
      </c>
      <c r="J16">
        <f t="shared" si="2"/>
        <v>1.8599999999999999</v>
      </c>
      <c r="K16" s="8" t="s">
        <v>679</v>
      </c>
    </row>
    <row r="17" spans="1:11" x14ac:dyDescent="0.2">
      <c r="A17" s="8" t="s">
        <v>157</v>
      </c>
      <c r="B17" s="8">
        <v>0.49399999999999999</v>
      </c>
      <c r="C17" s="22" t="s">
        <v>488</v>
      </c>
      <c r="D17" s="8" t="s">
        <v>680</v>
      </c>
      <c r="E17" s="8">
        <v>41</v>
      </c>
      <c r="F17" s="8">
        <v>1</v>
      </c>
      <c r="G17" s="8">
        <f t="shared" si="0"/>
        <v>9</v>
      </c>
      <c r="H17">
        <v>0.14699999999999999</v>
      </c>
      <c r="I17">
        <f t="shared" si="1"/>
        <v>2.94</v>
      </c>
      <c r="J17">
        <f t="shared" si="2"/>
        <v>2.2050000000000001</v>
      </c>
      <c r="K17" s="8" t="s">
        <v>680</v>
      </c>
    </row>
    <row r="18" spans="1:11" x14ac:dyDescent="0.2">
      <c r="A18" s="8" t="s">
        <v>154</v>
      </c>
      <c r="B18" s="8">
        <v>0.53399999999999992</v>
      </c>
      <c r="C18" s="22" t="s">
        <v>486</v>
      </c>
      <c r="D18" s="8" t="s">
        <v>681</v>
      </c>
      <c r="E18" s="8">
        <v>36</v>
      </c>
      <c r="F18" s="8">
        <v>1</v>
      </c>
      <c r="G18" s="8">
        <f t="shared" si="0"/>
        <v>14</v>
      </c>
      <c r="H18">
        <v>0.13800000000000001</v>
      </c>
      <c r="I18">
        <f t="shared" si="1"/>
        <v>2.7600000000000002</v>
      </c>
      <c r="J18">
        <f t="shared" si="2"/>
        <v>2.0700000000000003</v>
      </c>
      <c r="K18" s="8" t="s">
        <v>681</v>
      </c>
    </row>
    <row r="19" spans="1:11" x14ac:dyDescent="0.2">
      <c r="A19" s="8" t="s">
        <v>344</v>
      </c>
      <c r="B19" s="8">
        <v>1.0009999999999999</v>
      </c>
      <c r="C19" s="22" t="s">
        <v>481</v>
      </c>
      <c r="D19" s="8" t="s">
        <v>682</v>
      </c>
      <c r="E19" s="8">
        <v>28</v>
      </c>
      <c r="F19" s="8">
        <v>1</v>
      </c>
      <c r="G19" s="8">
        <f t="shared" si="0"/>
        <v>22</v>
      </c>
      <c r="H19">
        <v>0.183</v>
      </c>
      <c r="I19">
        <f t="shared" si="1"/>
        <v>3.66</v>
      </c>
      <c r="J19">
        <f t="shared" si="2"/>
        <v>2.7450000000000001</v>
      </c>
      <c r="K19" s="8" t="s">
        <v>682</v>
      </c>
    </row>
    <row r="20" spans="1:11" x14ac:dyDescent="0.2">
      <c r="A20" s="8" t="s">
        <v>356</v>
      </c>
      <c r="B20" s="8">
        <v>1.331</v>
      </c>
      <c r="C20" s="22" t="s">
        <v>483</v>
      </c>
      <c r="D20" s="8" t="s">
        <v>683</v>
      </c>
      <c r="E20" s="8">
        <v>36</v>
      </c>
      <c r="F20" s="8">
        <v>1</v>
      </c>
      <c r="G20" s="8">
        <f t="shared" si="0"/>
        <v>14</v>
      </c>
      <c r="H20">
        <v>0.25700000000000001</v>
      </c>
      <c r="I20">
        <f t="shared" si="1"/>
        <v>5.1400000000000006</v>
      </c>
      <c r="J20">
        <f t="shared" si="2"/>
        <v>3.855</v>
      </c>
      <c r="K20" s="8" t="s">
        <v>683</v>
      </c>
    </row>
    <row r="21" spans="1:11" x14ac:dyDescent="0.2">
      <c r="A21" s="8" t="s">
        <v>67</v>
      </c>
      <c r="B21" s="8">
        <v>0</v>
      </c>
      <c r="C21" s="22" t="s">
        <v>533</v>
      </c>
      <c r="D21" s="8" t="s">
        <v>684</v>
      </c>
      <c r="E21" s="8">
        <v>41</v>
      </c>
      <c r="F21" s="8">
        <v>1</v>
      </c>
      <c r="G21" s="8">
        <f t="shared" si="0"/>
        <v>9</v>
      </c>
      <c r="H21">
        <v>0.128</v>
      </c>
      <c r="I21">
        <f t="shared" si="1"/>
        <v>2.56</v>
      </c>
      <c r="J21">
        <f t="shared" si="2"/>
        <v>1.92</v>
      </c>
      <c r="K21" s="8" t="s">
        <v>684</v>
      </c>
    </row>
    <row r="22" spans="1:11" x14ac:dyDescent="0.2">
      <c r="A22" s="8" t="s">
        <v>184</v>
      </c>
      <c r="B22" s="8">
        <v>4.5000000000000012E-2</v>
      </c>
      <c r="C22" s="22" t="s">
        <v>534</v>
      </c>
      <c r="D22" s="8" t="s">
        <v>685</v>
      </c>
      <c r="E22" s="8">
        <v>41</v>
      </c>
      <c r="F22" s="8">
        <v>1</v>
      </c>
      <c r="G22" s="8">
        <f t="shared" si="0"/>
        <v>9</v>
      </c>
      <c r="H22">
        <v>6.13E-2</v>
      </c>
      <c r="I22">
        <f t="shared" si="1"/>
        <v>1.226</v>
      </c>
      <c r="J22">
        <f t="shared" si="2"/>
        <v>0.91949999999999998</v>
      </c>
      <c r="K22" s="8" t="s">
        <v>685</v>
      </c>
    </row>
    <row r="23" spans="1:11" x14ac:dyDescent="0.2">
      <c r="A23" s="8" t="s">
        <v>236</v>
      </c>
      <c r="B23" s="8">
        <v>0.17699999999999999</v>
      </c>
      <c r="C23" s="22" t="s">
        <v>597</v>
      </c>
      <c r="D23" s="8" t="s">
        <v>686</v>
      </c>
      <c r="E23" s="8">
        <v>39</v>
      </c>
      <c r="F23" s="8">
        <v>1</v>
      </c>
      <c r="G23" s="8">
        <f t="shared" si="0"/>
        <v>11</v>
      </c>
      <c r="H23">
        <v>0.114</v>
      </c>
      <c r="I23">
        <f t="shared" si="1"/>
        <v>2.2800000000000002</v>
      </c>
      <c r="J23">
        <f t="shared" si="2"/>
        <v>1.71</v>
      </c>
      <c r="K23" s="8" t="s">
        <v>686</v>
      </c>
    </row>
    <row r="24" spans="1:11" x14ac:dyDescent="0.2">
      <c r="A24" s="8" t="s">
        <v>302</v>
      </c>
      <c r="B24" s="8">
        <v>0.20200000000000001</v>
      </c>
      <c r="C24" s="22" t="s">
        <v>598</v>
      </c>
      <c r="D24" s="8" t="s">
        <v>687</v>
      </c>
      <c r="E24" s="8">
        <v>39</v>
      </c>
      <c r="F24" s="8">
        <v>1</v>
      </c>
      <c r="G24" s="8">
        <f t="shared" si="0"/>
        <v>11</v>
      </c>
      <c r="H24">
        <v>0.1</v>
      </c>
      <c r="I24">
        <f t="shared" si="1"/>
        <v>2</v>
      </c>
      <c r="J24">
        <f t="shared" si="2"/>
        <v>1.5</v>
      </c>
      <c r="K24" s="8" t="s">
        <v>687</v>
      </c>
    </row>
    <row r="25" spans="1:11" x14ac:dyDescent="0.2">
      <c r="A25" s="8" t="s">
        <v>139</v>
      </c>
      <c r="B25" s="8">
        <v>0.20600000000000002</v>
      </c>
      <c r="C25" s="22" t="s">
        <v>535</v>
      </c>
      <c r="D25" s="8" t="s">
        <v>688</v>
      </c>
      <c r="E25" s="8">
        <v>39</v>
      </c>
      <c r="F25" s="8">
        <v>1</v>
      </c>
      <c r="G25" s="8">
        <f t="shared" si="0"/>
        <v>11</v>
      </c>
      <c r="H25">
        <v>0.154</v>
      </c>
      <c r="I25">
        <f t="shared" si="1"/>
        <v>3.08</v>
      </c>
      <c r="J25">
        <f t="shared" si="2"/>
        <v>2.31</v>
      </c>
      <c r="K25" s="8" t="s">
        <v>688</v>
      </c>
    </row>
    <row r="26" spans="1:11" x14ac:dyDescent="0.2">
      <c r="A26" s="8" t="s">
        <v>227</v>
      </c>
      <c r="B26" s="8">
        <v>0.21700000000000003</v>
      </c>
      <c r="C26" s="22" t="s">
        <v>599</v>
      </c>
      <c r="D26" s="8" t="s">
        <v>689</v>
      </c>
      <c r="E26" s="8">
        <v>39</v>
      </c>
      <c r="F26" s="8">
        <v>1</v>
      </c>
      <c r="G26" s="8">
        <f t="shared" si="0"/>
        <v>11</v>
      </c>
      <c r="H26">
        <v>0.14199999999999999</v>
      </c>
      <c r="I26">
        <f t="shared" si="1"/>
        <v>2.84</v>
      </c>
      <c r="J26">
        <f t="shared" si="2"/>
        <v>2.13</v>
      </c>
      <c r="K26" s="8" t="s">
        <v>689</v>
      </c>
    </row>
    <row r="27" spans="1:11" x14ac:dyDescent="0.2">
      <c r="A27" s="8" t="s">
        <v>386</v>
      </c>
      <c r="B27" s="8">
        <v>0.22200000000000003</v>
      </c>
      <c r="C27" s="22" t="s">
        <v>600</v>
      </c>
      <c r="D27" s="8" t="s">
        <v>690</v>
      </c>
      <c r="E27" s="8">
        <v>39</v>
      </c>
      <c r="F27" s="8">
        <v>1</v>
      </c>
      <c r="G27" s="8">
        <f t="shared" si="0"/>
        <v>11</v>
      </c>
      <c r="H27">
        <v>0.14399999999999999</v>
      </c>
      <c r="I27">
        <f t="shared" si="1"/>
        <v>2.88</v>
      </c>
      <c r="J27">
        <f t="shared" si="2"/>
        <v>2.1599999999999997</v>
      </c>
      <c r="K27" s="8" t="s">
        <v>690</v>
      </c>
    </row>
    <row r="28" spans="1:11" x14ac:dyDescent="0.2">
      <c r="A28" s="8" t="s">
        <v>57</v>
      </c>
      <c r="B28" s="8">
        <v>0.22400000000000003</v>
      </c>
      <c r="C28" s="22" t="s">
        <v>536</v>
      </c>
      <c r="D28" s="8" t="s">
        <v>691</v>
      </c>
      <c r="E28" s="8">
        <v>38</v>
      </c>
      <c r="F28" s="8">
        <v>1</v>
      </c>
      <c r="G28" s="8">
        <f t="shared" si="0"/>
        <v>12</v>
      </c>
      <c r="H28">
        <v>0.122</v>
      </c>
      <c r="I28">
        <f t="shared" si="1"/>
        <v>2.44</v>
      </c>
      <c r="J28">
        <f t="shared" si="2"/>
        <v>1.83</v>
      </c>
      <c r="K28" s="8" t="s">
        <v>691</v>
      </c>
    </row>
    <row r="29" spans="1:11" x14ac:dyDescent="0.2">
      <c r="A29" s="8" t="s">
        <v>374</v>
      </c>
      <c r="B29" s="8">
        <v>0.22700000000000004</v>
      </c>
      <c r="C29" s="22" t="s">
        <v>601</v>
      </c>
      <c r="D29" s="8" t="s">
        <v>692</v>
      </c>
      <c r="E29" s="8">
        <v>39</v>
      </c>
      <c r="F29" s="8">
        <v>1</v>
      </c>
      <c r="G29" s="8">
        <f t="shared" si="0"/>
        <v>11</v>
      </c>
      <c r="H29">
        <v>0.151</v>
      </c>
      <c r="I29">
        <f t="shared" si="1"/>
        <v>3.02</v>
      </c>
      <c r="J29">
        <f t="shared" si="2"/>
        <v>2.2650000000000001</v>
      </c>
      <c r="K29" s="8" t="s">
        <v>692</v>
      </c>
    </row>
    <row r="30" spans="1:11" x14ac:dyDescent="0.2">
      <c r="A30" s="8" t="s">
        <v>39</v>
      </c>
      <c r="B30" s="8">
        <v>0.27200000000000002</v>
      </c>
      <c r="C30" s="22" t="s">
        <v>537</v>
      </c>
      <c r="D30" s="8" t="s">
        <v>693</v>
      </c>
      <c r="E30" s="8">
        <v>40</v>
      </c>
      <c r="F30" s="8">
        <v>1</v>
      </c>
      <c r="G30" s="8">
        <f t="shared" si="0"/>
        <v>10</v>
      </c>
      <c r="H30">
        <v>0.121</v>
      </c>
      <c r="I30">
        <f t="shared" si="1"/>
        <v>2.42</v>
      </c>
      <c r="J30">
        <f t="shared" si="2"/>
        <v>1.8149999999999999</v>
      </c>
      <c r="K30" s="8" t="s">
        <v>693</v>
      </c>
    </row>
    <row r="31" spans="1:11" x14ac:dyDescent="0.2">
      <c r="A31" s="8" t="s">
        <v>51</v>
      </c>
      <c r="B31" s="8">
        <v>0.28300000000000003</v>
      </c>
      <c r="C31" s="22" t="s">
        <v>538</v>
      </c>
      <c r="D31" s="8" t="s">
        <v>694</v>
      </c>
      <c r="E31" s="8">
        <v>48</v>
      </c>
      <c r="F31" s="8">
        <v>1</v>
      </c>
      <c r="G31" s="8">
        <f t="shared" si="0"/>
        <v>2</v>
      </c>
      <c r="H31">
        <v>0.221</v>
      </c>
      <c r="I31">
        <f t="shared" si="1"/>
        <v>4.42</v>
      </c>
      <c r="J31">
        <f t="shared" si="2"/>
        <v>3.3149999999999999</v>
      </c>
      <c r="K31" s="8" t="s">
        <v>694</v>
      </c>
    </row>
    <row r="32" spans="1:11" x14ac:dyDescent="0.2">
      <c r="A32" s="8" t="s">
        <v>103</v>
      </c>
      <c r="B32" s="8">
        <v>0.28900000000000003</v>
      </c>
      <c r="C32" s="22" t="s">
        <v>539</v>
      </c>
      <c r="D32" s="8" t="s">
        <v>695</v>
      </c>
      <c r="E32" s="8">
        <v>39</v>
      </c>
      <c r="F32" s="8">
        <v>1</v>
      </c>
      <c r="G32" s="8">
        <f t="shared" si="0"/>
        <v>11</v>
      </c>
      <c r="H32">
        <v>0.11700000000000001</v>
      </c>
      <c r="I32">
        <f t="shared" si="1"/>
        <v>2.3400000000000003</v>
      </c>
      <c r="J32">
        <f t="shared" si="2"/>
        <v>1.7550000000000001</v>
      </c>
      <c r="K32" s="8" t="s">
        <v>695</v>
      </c>
    </row>
    <row r="33" spans="1:11" x14ac:dyDescent="0.2">
      <c r="A33" s="8" t="s">
        <v>151</v>
      </c>
      <c r="B33" s="8">
        <v>0.308</v>
      </c>
      <c r="C33" s="22" t="s">
        <v>540</v>
      </c>
      <c r="D33" s="8" t="s">
        <v>696</v>
      </c>
      <c r="E33" s="8">
        <v>39</v>
      </c>
      <c r="F33" s="8">
        <v>1</v>
      </c>
      <c r="G33" s="8">
        <f t="shared" si="0"/>
        <v>11</v>
      </c>
      <c r="H33">
        <v>0.126</v>
      </c>
      <c r="I33">
        <f t="shared" si="1"/>
        <v>2.52</v>
      </c>
      <c r="J33">
        <f t="shared" si="2"/>
        <v>1.8900000000000001</v>
      </c>
      <c r="K33" s="8" t="s">
        <v>696</v>
      </c>
    </row>
    <row r="34" spans="1:11" x14ac:dyDescent="0.2">
      <c r="A34" s="8" t="s">
        <v>115</v>
      </c>
      <c r="B34" s="8">
        <v>0.314</v>
      </c>
      <c r="C34" s="22" t="s">
        <v>541</v>
      </c>
      <c r="D34" s="8" t="s">
        <v>697</v>
      </c>
      <c r="E34" s="8">
        <v>41</v>
      </c>
      <c r="F34" s="8">
        <v>2</v>
      </c>
      <c r="G34" s="8">
        <f t="shared" si="0"/>
        <v>9</v>
      </c>
      <c r="H34">
        <v>0.186</v>
      </c>
      <c r="I34">
        <f t="shared" si="1"/>
        <v>3.7199999999999998</v>
      </c>
      <c r="J34">
        <f t="shared" si="2"/>
        <v>2.79</v>
      </c>
      <c r="K34" s="8" t="s">
        <v>697</v>
      </c>
    </row>
    <row r="35" spans="1:11" x14ac:dyDescent="0.2">
      <c r="A35" s="8" t="s">
        <v>239</v>
      </c>
      <c r="B35" s="8">
        <v>0.34200000000000003</v>
      </c>
      <c r="C35" s="22" t="s">
        <v>602</v>
      </c>
      <c r="D35" s="8" t="s">
        <v>698</v>
      </c>
      <c r="E35" s="8">
        <v>39</v>
      </c>
      <c r="F35" s="8">
        <v>2</v>
      </c>
      <c r="G35" s="8">
        <f t="shared" si="0"/>
        <v>11</v>
      </c>
      <c r="H35">
        <v>0.20499999999999999</v>
      </c>
      <c r="I35">
        <f t="shared" si="1"/>
        <v>4.0999999999999996</v>
      </c>
      <c r="J35">
        <f t="shared" si="2"/>
        <v>3.0749999999999997</v>
      </c>
      <c r="K35" s="8" t="s">
        <v>698</v>
      </c>
    </row>
    <row r="36" spans="1:11" x14ac:dyDescent="0.2">
      <c r="A36" s="8" t="s">
        <v>65</v>
      </c>
      <c r="B36" s="8">
        <v>0.35500000000000004</v>
      </c>
      <c r="C36" s="22" t="s">
        <v>542</v>
      </c>
      <c r="D36" s="8" t="s">
        <v>699</v>
      </c>
      <c r="E36" s="8">
        <v>39</v>
      </c>
      <c r="F36" s="8">
        <v>2</v>
      </c>
      <c r="G36" s="8">
        <f t="shared" si="0"/>
        <v>11</v>
      </c>
      <c r="H36">
        <v>0.188</v>
      </c>
      <c r="I36">
        <f t="shared" si="1"/>
        <v>3.76</v>
      </c>
      <c r="J36">
        <f t="shared" si="2"/>
        <v>2.82</v>
      </c>
      <c r="K36" s="8" t="s">
        <v>699</v>
      </c>
    </row>
    <row r="37" spans="1:11" x14ac:dyDescent="0.2">
      <c r="A37" s="8" t="s">
        <v>181</v>
      </c>
      <c r="B37" s="8">
        <v>0.36100000000000004</v>
      </c>
      <c r="C37" s="22" t="s">
        <v>543</v>
      </c>
      <c r="D37" s="8" t="s">
        <v>700</v>
      </c>
      <c r="E37" s="8">
        <v>39</v>
      </c>
      <c r="F37" s="8">
        <v>2</v>
      </c>
      <c r="G37" s="8">
        <f t="shared" si="0"/>
        <v>11</v>
      </c>
      <c r="H37">
        <v>0.20699999999999999</v>
      </c>
      <c r="I37">
        <f t="shared" si="1"/>
        <v>4.1399999999999997</v>
      </c>
      <c r="J37">
        <f t="shared" si="2"/>
        <v>3.105</v>
      </c>
      <c r="K37" s="8" t="s">
        <v>700</v>
      </c>
    </row>
    <row r="38" spans="1:11" x14ac:dyDescent="0.2">
      <c r="A38" s="8" t="s">
        <v>61</v>
      </c>
      <c r="B38" s="8">
        <v>0.51400000000000001</v>
      </c>
      <c r="C38" s="22" t="s">
        <v>544</v>
      </c>
      <c r="D38" s="8" t="s">
        <v>701</v>
      </c>
      <c r="E38" s="8">
        <v>39</v>
      </c>
      <c r="F38" s="8">
        <v>2</v>
      </c>
      <c r="G38" s="8">
        <f t="shared" si="0"/>
        <v>11</v>
      </c>
      <c r="H38">
        <v>0.22800000000000001</v>
      </c>
      <c r="I38">
        <f t="shared" si="1"/>
        <v>4.5600000000000005</v>
      </c>
      <c r="J38">
        <f t="shared" si="2"/>
        <v>3.42</v>
      </c>
      <c r="K38" s="8" t="s">
        <v>701</v>
      </c>
    </row>
    <row r="39" spans="1:11" x14ac:dyDescent="0.2">
      <c r="A39" s="8" t="s">
        <v>281</v>
      </c>
      <c r="B39" s="8">
        <v>0.55400000000000005</v>
      </c>
      <c r="C39" s="22" t="s">
        <v>603</v>
      </c>
      <c r="D39" s="8" t="s">
        <v>702</v>
      </c>
      <c r="E39" s="8">
        <v>39</v>
      </c>
      <c r="F39" s="8">
        <v>2</v>
      </c>
      <c r="G39" s="8">
        <f t="shared" si="0"/>
        <v>11</v>
      </c>
      <c r="H39">
        <v>0.28699999999999998</v>
      </c>
      <c r="I39">
        <f t="shared" si="1"/>
        <v>5.7399999999999993</v>
      </c>
      <c r="J39">
        <f t="shared" si="2"/>
        <v>4.3049999999999997</v>
      </c>
      <c r="K39" s="8" t="s">
        <v>702</v>
      </c>
    </row>
    <row r="40" spans="1:11" x14ac:dyDescent="0.2">
      <c r="A40" s="8" t="s">
        <v>341</v>
      </c>
      <c r="B40" s="8">
        <v>0.58699999999999997</v>
      </c>
      <c r="C40" s="22" t="s">
        <v>604</v>
      </c>
      <c r="D40" s="8" t="s">
        <v>703</v>
      </c>
      <c r="E40" s="8">
        <v>39</v>
      </c>
      <c r="F40" s="8">
        <v>2</v>
      </c>
      <c r="G40" s="8">
        <f t="shared" si="0"/>
        <v>11</v>
      </c>
      <c r="H40">
        <v>0.25900000000000001</v>
      </c>
      <c r="I40">
        <f t="shared" si="1"/>
        <v>5.18</v>
      </c>
      <c r="J40">
        <f t="shared" si="2"/>
        <v>3.8850000000000002</v>
      </c>
      <c r="K40" s="8" t="s">
        <v>703</v>
      </c>
    </row>
    <row r="41" spans="1:11" x14ac:dyDescent="0.2">
      <c r="A41" s="8" t="s">
        <v>230</v>
      </c>
      <c r="B41" s="8">
        <v>0.67399999999999993</v>
      </c>
      <c r="C41" s="22" t="s">
        <v>605</v>
      </c>
      <c r="D41" s="8" t="s">
        <v>704</v>
      </c>
      <c r="E41" s="8">
        <v>39</v>
      </c>
      <c r="F41" s="8">
        <v>2</v>
      </c>
      <c r="G41" s="8">
        <f t="shared" si="0"/>
        <v>11</v>
      </c>
      <c r="H41">
        <v>0.29499999999999998</v>
      </c>
      <c r="I41">
        <f t="shared" si="1"/>
        <v>5.8999999999999995</v>
      </c>
      <c r="J41">
        <f t="shared" si="2"/>
        <v>4.4249999999999998</v>
      </c>
      <c r="K41" s="8" t="s">
        <v>704</v>
      </c>
    </row>
    <row r="42" spans="1:11" x14ac:dyDescent="0.2">
      <c r="A42" s="8" t="s">
        <v>263</v>
      </c>
      <c r="B42" s="8">
        <v>0.89700000000000002</v>
      </c>
      <c r="C42" s="22" t="s">
        <v>606</v>
      </c>
      <c r="D42" s="8" t="s">
        <v>705</v>
      </c>
      <c r="E42" s="8">
        <v>39</v>
      </c>
      <c r="F42" s="8">
        <v>2</v>
      </c>
      <c r="G42" s="8">
        <f t="shared" si="0"/>
        <v>11</v>
      </c>
      <c r="H42">
        <v>0.27900000000000003</v>
      </c>
      <c r="I42">
        <f t="shared" si="1"/>
        <v>5.58</v>
      </c>
      <c r="J42">
        <f t="shared" si="2"/>
        <v>4.1850000000000005</v>
      </c>
      <c r="K42" s="8" t="s">
        <v>705</v>
      </c>
    </row>
    <row r="43" spans="1:11" x14ac:dyDescent="0.2">
      <c r="A43" s="8" t="s">
        <v>80</v>
      </c>
      <c r="B43" s="8">
        <v>1.2569999999999999</v>
      </c>
      <c r="C43" s="22" t="s">
        <v>545</v>
      </c>
      <c r="D43" s="8" t="s">
        <v>706</v>
      </c>
      <c r="E43" s="8">
        <v>39</v>
      </c>
      <c r="F43" s="8">
        <v>2</v>
      </c>
      <c r="G43" s="8">
        <f t="shared" si="0"/>
        <v>11</v>
      </c>
      <c r="H43">
        <v>0.34</v>
      </c>
      <c r="I43">
        <f t="shared" si="1"/>
        <v>6.8000000000000007</v>
      </c>
      <c r="J43">
        <f t="shared" si="2"/>
        <v>5.1000000000000005</v>
      </c>
      <c r="K43" s="8" t="s">
        <v>706</v>
      </c>
    </row>
    <row r="44" spans="1:11" x14ac:dyDescent="0.2">
      <c r="A44" s="8" t="s">
        <v>205</v>
      </c>
      <c r="B44" s="8">
        <v>6.1699999999999998E-2</v>
      </c>
      <c r="C44" s="22" t="s">
        <v>546</v>
      </c>
      <c r="D44" s="8" t="s">
        <v>707</v>
      </c>
      <c r="E44" s="8">
        <v>39</v>
      </c>
      <c r="F44" s="8">
        <v>2</v>
      </c>
      <c r="G44" s="8">
        <f t="shared" si="0"/>
        <v>11</v>
      </c>
      <c r="H44">
        <v>0.17799999999999999</v>
      </c>
      <c r="I44">
        <f t="shared" si="1"/>
        <v>3.5599999999999996</v>
      </c>
      <c r="J44">
        <f t="shared" si="2"/>
        <v>2.67</v>
      </c>
      <c r="K44" s="8" t="s">
        <v>707</v>
      </c>
    </row>
    <row r="45" spans="1:11" x14ac:dyDescent="0.2">
      <c r="A45" s="8" t="s">
        <v>257</v>
      </c>
      <c r="B45" s="8">
        <v>9.6700000000000008E-2</v>
      </c>
      <c r="C45" s="22" t="s">
        <v>607</v>
      </c>
      <c r="D45" s="8" t="s">
        <v>708</v>
      </c>
      <c r="E45" s="8">
        <v>40</v>
      </c>
      <c r="F45" s="8">
        <v>2</v>
      </c>
      <c r="G45" s="8">
        <f t="shared" si="0"/>
        <v>10</v>
      </c>
      <c r="H45">
        <v>0.121</v>
      </c>
      <c r="I45">
        <f t="shared" si="1"/>
        <v>2.42</v>
      </c>
      <c r="J45">
        <f t="shared" si="2"/>
        <v>1.8149999999999999</v>
      </c>
      <c r="K45" s="8" t="s">
        <v>708</v>
      </c>
    </row>
    <row r="46" spans="1:11" x14ac:dyDescent="0.2">
      <c r="A46" s="8" t="s">
        <v>371</v>
      </c>
      <c r="B46" s="8">
        <v>0.10170000000000001</v>
      </c>
      <c r="C46" s="22" t="s">
        <v>608</v>
      </c>
      <c r="D46" s="8" t="s">
        <v>709</v>
      </c>
      <c r="E46" s="8">
        <v>41</v>
      </c>
      <c r="F46" s="8">
        <v>2</v>
      </c>
      <c r="G46" s="8">
        <f t="shared" si="0"/>
        <v>9</v>
      </c>
      <c r="H46">
        <v>0.124</v>
      </c>
      <c r="I46">
        <f t="shared" si="1"/>
        <v>2.48</v>
      </c>
      <c r="J46">
        <f t="shared" si="2"/>
        <v>1.8599999999999999</v>
      </c>
      <c r="K46" s="8" t="s">
        <v>709</v>
      </c>
    </row>
    <row r="47" spans="1:11" x14ac:dyDescent="0.2">
      <c r="A47" s="8" t="s">
        <v>248</v>
      </c>
      <c r="B47" s="8">
        <v>0.1497</v>
      </c>
      <c r="C47" s="22" t="s">
        <v>609</v>
      </c>
      <c r="D47" s="8" t="s">
        <v>710</v>
      </c>
      <c r="E47" s="8">
        <v>41</v>
      </c>
      <c r="F47" s="8">
        <v>2</v>
      </c>
      <c r="G47" s="8">
        <f t="shared" si="0"/>
        <v>9</v>
      </c>
      <c r="H47">
        <v>0.13900000000000001</v>
      </c>
      <c r="I47">
        <f t="shared" si="1"/>
        <v>2.7800000000000002</v>
      </c>
      <c r="J47">
        <f t="shared" si="2"/>
        <v>2.085</v>
      </c>
      <c r="K47" s="8" t="s">
        <v>710</v>
      </c>
    </row>
    <row r="48" spans="1:11" x14ac:dyDescent="0.2">
      <c r="A48" s="8" t="s">
        <v>121</v>
      </c>
      <c r="B48" s="8">
        <v>0.16670000000000001</v>
      </c>
      <c r="C48" s="22" t="s">
        <v>547</v>
      </c>
      <c r="D48" s="8" t="s">
        <v>711</v>
      </c>
      <c r="E48" s="8">
        <v>41</v>
      </c>
      <c r="F48" s="8">
        <v>2</v>
      </c>
      <c r="G48" s="8">
        <f t="shared" si="0"/>
        <v>9</v>
      </c>
      <c r="H48">
        <v>0.16800000000000001</v>
      </c>
      <c r="I48">
        <f t="shared" si="1"/>
        <v>3.3600000000000003</v>
      </c>
      <c r="J48">
        <f t="shared" si="2"/>
        <v>2.52</v>
      </c>
      <c r="K48" s="8" t="s">
        <v>711</v>
      </c>
    </row>
    <row r="49" spans="1:11" x14ac:dyDescent="0.2">
      <c r="A49" s="8" t="s">
        <v>178</v>
      </c>
      <c r="B49" s="8">
        <v>0.1787</v>
      </c>
      <c r="C49" s="22" t="s">
        <v>548</v>
      </c>
      <c r="D49" s="8" t="s">
        <v>712</v>
      </c>
      <c r="E49" s="8">
        <v>41</v>
      </c>
      <c r="F49" s="8">
        <v>2</v>
      </c>
      <c r="G49" s="8">
        <f t="shared" si="0"/>
        <v>9</v>
      </c>
      <c r="H49">
        <v>0.156</v>
      </c>
      <c r="I49">
        <f t="shared" si="1"/>
        <v>3.12</v>
      </c>
      <c r="J49">
        <f t="shared" si="2"/>
        <v>2.34</v>
      </c>
      <c r="K49" s="8" t="s">
        <v>712</v>
      </c>
    </row>
    <row r="50" spans="1:11" x14ac:dyDescent="0.2">
      <c r="A50" s="8" t="s">
        <v>383</v>
      </c>
      <c r="B50" s="8">
        <v>0.1817</v>
      </c>
      <c r="C50" s="22" t="s">
        <v>610</v>
      </c>
      <c r="D50" s="8" t="s">
        <v>713</v>
      </c>
      <c r="E50" s="8">
        <v>41</v>
      </c>
      <c r="F50" s="8">
        <v>2</v>
      </c>
      <c r="G50" s="8">
        <f t="shared" si="0"/>
        <v>9</v>
      </c>
      <c r="H50">
        <v>0.14499999999999999</v>
      </c>
      <c r="I50">
        <f t="shared" si="1"/>
        <v>2.9</v>
      </c>
      <c r="J50">
        <f t="shared" si="2"/>
        <v>2.1749999999999998</v>
      </c>
      <c r="K50" s="8" t="s">
        <v>713</v>
      </c>
    </row>
    <row r="51" spans="1:11" x14ac:dyDescent="0.2">
      <c r="A51" s="8" t="s">
        <v>142</v>
      </c>
      <c r="B51" s="8">
        <v>0.23269999999999999</v>
      </c>
      <c r="C51" s="22" t="s">
        <v>549</v>
      </c>
      <c r="D51" s="8" t="s">
        <v>714</v>
      </c>
      <c r="E51" s="8">
        <v>41</v>
      </c>
      <c r="F51" s="8">
        <v>2</v>
      </c>
      <c r="G51" s="8">
        <f t="shared" si="0"/>
        <v>9</v>
      </c>
      <c r="H51">
        <v>0.157</v>
      </c>
      <c r="I51">
        <f t="shared" si="1"/>
        <v>3.14</v>
      </c>
      <c r="J51">
        <f t="shared" si="2"/>
        <v>2.355</v>
      </c>
      <c r="K51" s="8" t="s">
        <v>714</v>
      </c>
    </row>
    <row r="52" spans="1:11" x14ac:dyDescent="0.2">
      <c r="A52" s="8" t="s">
        <v>69</v>
      </c>
      <c r="B52" s="8">
        <v>0.2417</v>
      </c>
      <c r="C52" s="22" t="s">
        <v>550</v>
      </c>
      <c r="D52" s="8" t="s">
        <v>715</v>
      </c>
      <c r="E52" s="8">
        <v>41</v>
      </c>
      <c r="F52" s="8">
        <v>2</v>
      </c>
      <c r="G52" s="8">
        <f t="shared" si="0"/>
        <v>9</v>
      </c>
      <c r="H52">
        <v>0.10100000000000001</v>
      </c>
      <c r="I52">
        <f t="shared" si="1"/>
        <v>2.02</v>
      </c>
      <c r="J52">
        <f t="shared" si="2"/>
        <v>1.5150000000000001</v>
      </c>
      <c r="K52" s="8" t="s">
        <v>715</v>
      </c>
    </row>
    <row r="53" spans="1:11" x14ac:dyDescent="0.2">
      <c r="A53" s="8" t="s">
        <v>133</v>
      </c>
      <c r="B53" s="8">
        <v>0.25069999999999998</v>
      </c>
      <c r="C53" s="22" t="s">
        <v>552</v>
      </c>
      <c r="D53" s="8" t="s">
        <v>716</v>
      </c>
      <c r="E53" s="8">
        <v>39</v>
      </c>
      <c r="F53" s="8">
        <v>2</v>
      </c>
      <c r="G53" s="8">
        <f t="shared" si="0"/>
        <v>11</v>
      </c>
      <c r="H53">
        <v>0.14899999999999999</v>
      </c>
      <c r="I53">
        <f t="shared" si="1"/>
        <v>2.98</v>
      </c>
      <c r="J53">
        <f t="shared" si="2"/>
        <v>2.2349999999999999</v>
      </c>
      <c r="K53" s="8" t="s">
        <v>716</v>
      </c>
    </row>
    <row r="54" spans="1:11" x14ac:dyDescent="0.2">
      <c r="A54" s="8" t="s">
        <v>320</v>
      </c>
      <c r="B54" s="8">
        <v>0.30669999999999997</v>
      </c>
      <c r="C54" s="22" t="s">
        <v>611</v>
      </c>
      <c r="D54" s="8" t="s">
        <v>717</v>
      </c>
      <c r="E54" s="8">
        <v>41</v>
      </c>
      <c r="F54" s="8">
        <v>2</v>
      </c>
      <c r="G54" s="8">
        <f t="shared" si="0"/>
        <v>9</v>
      </c>
      <c r="H54">
        <v>0.191</v>
      </c>
      <c r="I54">
        <f t="shared" si="1"/>
        <v>3.8200000000000003</v>
      </c>
      <c r="J54">
        <f t="shared" si="2"/>
        <v>2.8650000000000002</v>
      </c>
      <c r="K54" s="8" t="s">
        <v>717</v>
      </c>
    </row>
    <row r="55" spans="1:11" x14ac:dyDescent="0.2">
      <c r="A55" s="8" t="s">
        <v>145</v>
      </c>
      <c r="B55" s="8">
        <v>0.30969999999999998</v>
      </c>
      <c r="C55" s="22" t="s">
        <v>554</v>
      </c>
      <c r="D55" s="8" t="s">
        <v>718</v>
      </c>
      <c r="E55" s="8">
        <v>41</v>
      </c>
      <c r="F55" s="8">
        <v>2</v>
      </c>
      <c r="G55" s="8">
        <f t="shared" si="0"/>
        <v>9</v>
      </c>
      <c r="H55">
        <v>0.14499999999999999</v>
      </c>
      <c r="I55">
        <f t="shared" si="1"/>
        <v>2.9</v>
      </c>
      <c r="J55">
        <f t="shared" si="2"/>
        <v>2.1749999999999998</v>
      </c>
      <c r="K55" s="8" t="s">
        <v>718</v>
      </c>
    </row>
    <row r="56" spans="1:11" x14ac:dyDescent="0.2">
      <c r="A56" s="8" t="s">
        <v>260</v>
      </c>
      <c r="B56" s="8">
        <v>0.35669999999999996</v>
      </c>
      <c r="C56" s="22" t="s">
        <v>612</v>
      </c>
      <c r="D56" s="8" t="s">
        <v>719</v>
      </c>
      <c r="E56" s="8">
        <v>41</v>
      </c>
      <c r="F56" s="8">
        <v>2</v>
      </c>
      <c r="G56" s="8">
        <f t="shared" si="0"/>
        <v>9</v>
      </c>
      <c r="H56">
        <v>0.20100000000000001</v>
      </c>
      <c r="I56">
        <f t="shared" si="1"/>
        <v>4.0200000000000005</v>
      </c>
      <c r="J56">
        <f t="shared" si="2"/>
        <v>3.0150000000000001</v>
      </c>
      <c r="K56" s="8" t="s">
        <v>719</v>
      </c>
    </row>
    <row r="57" spans="1:11" x14ac:dyDescent="0.2">
      <c r="A57" s="8" t="s">
        <v>10</v>
      </c>
      <c r="B57" s="8">
        <v>0.44569999999999999</v>
      </c>
      <c r="C57" s="22" t="s">
        <v>555</v>
      </c>
      <c r="D57" s="8" t="s">
        <v>720</v>
      </c>
      <c r="E57" s="8">
        <v>41</v>
      </c>
      <c r="F57" s="8">
        <v>2</v>
      </c>
      <c r="G57" s="8">
        <f t="shared" si="0"/>
        <v>9</v>
      </c>
      <c r="H57">
        <v>0.26200000000000001</v>
      </c>
      <c r="I57">
        <f t="shared" si="1"/>
        <v>5.24</v>
      </c>
      <c r="J57">
        <f t="shared" si="2"/>
        <v>3.93</v>
      </c>
      <c r="K57" s="8" t="s">
        <v>720</v>
      </c>
    </row>
    <row r="58" spans="1:11" x14ac:dyDescent="0.2">
      <c r="A58" s="8" t="s">
        <v>33</v>
      </c>
      <c r="B58" s="8">
        <v>0.4607</v>
      </c>
      <c r="C58" s="22" t="s">
        <v>556</v>
      </c>
      <c r="D58" s="8" t="s">
        <v>721</v>
      </c>
      <c r="E58" s="8">
        <v>41</v>
      </c>
      <c r="F58" s="8">
        <v>2</v>
      </c>
      <c r="G58" s="8">
        <f t="shared" si="0"/>
        <v>9</v>
      </c>
      <c r="H58">
        <v>0.153</v>
      </c>
      <c r="I58">
        <f t="shared" si="1"/>
        <v>3.06</v>
      </c>
      <c r="J58">
        <f t="shared" si="2"/>
        <v>2.2949999999999999</v>
      </c>
      <c r="K58" s="8" t="s">
        <v>721</v>
      </c>
    </row>
    <row r="59" spans="1:11" x14ac:dyDescent="0.2">
      <c r="A59" s="8" t="s">
        <v>73</v>
      </c>
      <c r="B59" s="8">
        <v>0.4667</v>
      </c>
      <c r="C59" s="22" t="s">
        <v>557</v>
      </c>
      <c r="D59" s="8" t="s">
        <v>722</v>
      </c>
      <c r="E59" s="8">
        <v>41</v>
      </c>
      <c r="F59" s="8">
        <v>2</v>
      </c>
      <c r="G59" s="8">
        <f t="shared" si="0"/>
        <v>9</v>
      </c>
      <c r="H59">
        <v>0.152</v>
      </c>
      <c r="I59">
        <f t="shared" si="1"/>
        <v>3.04</v>
      </c>
      <c r="J59">
        <f t="shared" si="2"/>
        <v>2.2799999999999998</v>
      </c>
      <c r="K59" s="8" t="s">
        <v>722</v>
      </c>
    </row>
    <row r="60" spans="1:11" x14ac:dyDescent="0.2">
      <c r="A60" s="8" t="s">
        <v>317</v>
      </c>
      <c r="B60" s="8">
        <v>0.52369999999999994</v>
      </c>
      <c r="C60" s="22" t="s">
        <v>613</v>
      </c>
      <c r="D60" s="8" t="s">
        <v>723</v>
      </c>
      <c r="E60" s="8">
        <v>41</v>
      </c>
      <c r="F60" s="8">
        <v>2</v>
      </c>
      <c r="G60" s="8">
        <f t="shared" si="0"/>
        <v>9</v>
      </c>
      <c r="H60">
        <v>0.159</v>
      </c>
      <c r="I60">
        <f t="shared" si="1"/>
        <v>3.18</v>
      </c>
      <c r="J60">
        <f t="shared" si="2"/>
        <v>2.3850000000000002</v>
      </c>
      <c r="K60" s="8" t="s">
        <v>723</v>
      </c>
    </row>
    <row r="61" spans="1:11" x14ac:dyDescent="0.2">
      <c r="A61" s="8" t="s">
        <v>323</v>
      </c>
      <c r="B61" s="8">
        <v>0.65169999999999995</v>
      </c>
      <c r="C61" s="22" t="s">
        <v>614</v>
      </c>
      <c r="D61" s="8" t="s">
        <v>724</v>
      </c>
      <c r="E61" s="8">
        <v>41</v>
      </c>
      <c r="F61" s="8">
        <v>2</v>
      </c>
      <c r="G61" s="8">
        <f t="shared" si="0"/>
        <v>9</v>
      </c>
      <c r="H61">
        <v>0.17100000000000001</v>
      </c>
      <c r="I61">
        <f t="shared" si="1"/>
        <v>3.4200000000000004</v>
      </c>
      <c r="J61">
        <f t="shared" si="2"/>
        <v>2.5650000000000004</v>
      </c>
      <c r="K61" s="8" t="s">
        <v>724</v>
      </c>
    </row>
    <row r="62" spans="1:11" x14ac:dyDescent="0.2">
      <c r="A62" s="8" t="s">
        <v>293</v>
      </c>
      <c r="B62" s="8">
        <v>0.85170000000000001</v>
      </c>
      <c r="C62" s="22" t="s">
        <v>615</v>
      </c>
      <c r="D62" s="8" t="s">
        <v>725</v>
      </c>
      <c r="E62" s="8">
        <v>40</v>
      </c>
      <c r="F62" s="8">
        <v>2</v>
      </c>
      <c r="G62" s="8">
        <f t="shared" si="0"/>
        <v>10</v>
      </c>
      <c r="H62">
        <v>0.16700000000000001</v>
      </c>
      <c r="I62">
        <f t="shared" si="1"/>
        <v>3.3400000000000003</v>
      </c>
      <c r="J62">
        <f t="shared" si="2"/>
        <v>2.5050000000000003</v>
      </c>
      <c r="K62" s="8" t="s">
        <v>725</v>
      </c>
    </row>
    <row r="63" spans="1:11" x14ac:dyDescent="0.2">
      <c r="A63" s="8" t="s">
        <v>190</v>
      </c>
      <c r="B63" s="8">
        <v>0.94869999999999999</v>
      </c>
      <c r="C63" s="22" t="s">
        <v>558</v>
      </c>
      <c r="D63" s="8" t="s">
        <v>726</v>
      </c>
      <c r="E63" s="8">
        <v>41</v>
      </c>
      <c r="F63" s="8">
        <v>2</v>
      </c>
      <c r="G63" s="8">
        <f t="shared" si="0"/>
        <v>9</v>
      </c>
      <c r="H63">
        <v>0.20699999999999999</v>
      </c>
      <c r="I63">
        <f t="shared" si="1"/>
        <v>4.1399999999999997</v>
      </c>
      <c r="J63">
        <f t="shared" si="2"/>
        <v>3.105</v>
      </c>
      <c r="K63" s="8" t="s">
        <v>726</v>
      </c>
    </row>
    <row r="64" spans="1:11" x14ac:dyDescent="0.2">
      <c r="A64" s="8" t="s">
        <v>326</v>
      </c>
      <c r="B64" s="8">
        <v>1.0687</v>
      </c>
      <c r="C64" s="22" t="s">
        <v>616</v>
      </c>
      <c r="D64" s="8" t="s">
        <v>727</v>
      </c>
      <c r="E64" s="8">
        <v>41</v>
      </c>
      <c r="F64" s="8">
        <v>2</v>
      </c>
      <c r="G64" s="8">
        <f t="shared" si="0"/>
        <v>9</v>
      </c>
      <c r="H64">
        <v>0.2</v>
      </c>
      <c r="I64">
        <f t="shared" si="1"/>
        <v>4</v>
      </c>
      <c r="J64">
        <f t="shared" si="2"/>
        <v>3</v>
      </c>
      <c r="K64" s="8" t="s">
        <v>727</v>
      </c>
    </row>
    <row r="65" spans="1:11" x14ac:dyDescent="0.2">
      <c r="A65" s="8" t="s">
        <v>290</v>
      </c>
      <c r="B65" s="8">
        <v>0</v>
      </c>
      <c r="C65" s="22" t="s">
        <v>617</v>
      </c>
      <c r="D65" s="8" t="s">
        <v>504</v>
      </c>
      <c r="E65" s="8">
        <v>41</v>
      </c>
      <c r="F65" s="8">
        <v>2</v>
      </c>
      <c r="G65" s="8">
        <f t="shared" si="0"/>
        <v>9</v>
      </c>
      <c r="H65">
        <v>8.3299999999999999E-2</v>
      </c>
      <c r="I65">
        <f t="shared" si="1"/>
        <v>1.6659999999999999</v>
      </c>
      <c r="J65">
        <f t="shared" si="2"/>
        <v>1.2495000000000001</v>
      </c>
      <c r="K65" s="8" t="s">
        <v>504</v>
      </c>
    </row>
    <row r="66" spans="1:11" x14ac:dyDescent="0.2">
      <c r="A66" s="8" t="s">
        <v>53</v>
      </c>
      <c r="B66" s="8">
        <v>0.11169999999999999</v>
      </c>
      <c r="C66" s="22" t="s">
        <v>559</v>
      </c>
      <c r="D66" s="8" t="s">
        <v>505</v>
      </c>
      <c r="E66" s="8">
        <v>41</v>
      </c>
      <c r="F66" s="8">
        <v>3</v>
      </c>
      <c r="G66" s="8">
        <f t="shared" si="0"/>
        <v>9</v>
      </c>
      <c r="H66">
        <v>9.1300000000000006E-2</v>
      </c>
      <c r="I66">
        <f t="shared" si="1"/>
        <v>1.8260000000000001</v>
      </c>
      <c r="J66">
        <f t="shared" si="2"/>
        <v>1.3695000000000002</v>
      </c>
      <c r="K66" s="8" t="s">
        <v>505</v>
      </c>
    </row>
    <row r="67" spans="1:11" x14ac:dyDescent="0.2">
      <c r="A67" s="8" t="s">
        <v>350</v>
      </c>
      <c r="B67" s="8">
        <v>0.13770000000000002</v>
      </c>
      <c r="C67" s="22" t="s">
        <v>618</v>
      </c>
      <c r="D67" s="8" t="s">
        <v>728</v>
      </c>
      <c r="E67" s="8">
        <v>40</v>
      </c>
      <c r="F67" s="8">
        <v>3</v>
      </c>
      <c r="G67" s="8">
        <f t="shared" ref="G67:G129" si="3">50-E67</f>
        <v>10</v>
      </c>
      <c r="H67">
        <v>0.153</v>
      </c>
      <c r="I67">
        <f t="shared" ref="I67:I129" si="4">H67*20</f>
        <v>3.06</v>
      </c>
      <c r="J67">
        <f t="shared" ref="J67:J129" si="5">H67*15</f>
        <v>2.2949999999999999</v>
      </c>
      <c r="K67" s="8" t="s">
        <v>728</v>
      </c>
    </row>
    <row r="68" spans="1:11" x14ac:dyDescent="0.2">
      <c r="A68" s="8" t="s">
        <v>59</v>
      </c>
      <c r="B68" s="8">
        <v>0.15570000000000001</v>
      </c>
      <c r="C68" s="22" t="s">
        <v>560</v>
      </c>
      <c r="D68" s="8" t="s">
        <v>729</v>
      </c>
      <c r="E68" s="8">
        <v>41</v>
      </c>
      <c r="F68" s="8">
        <v>3</v>
      </c>
      <c r="G68" s="8">
        <f t="shared" si="3"/>
        <v>9</v>
      </c>
      <c r="H68">
        <v>0.158</v>
      </c>
      <c r="I68">
        <f t="shared" si="4"/>
        <v>3.16</v>
      </c>
      <c r="J68">
        <f t="shared" si="5"/>
        <v>2.37</v>
      </c>
      <c r="K68" s="8" t="s">
        <v>729</v>
      </c>
    </row>
    <row r="69" spans="1:11" x14ac:dyDescent="0.2">
      <c r="A69" s="8" t="s">
        <v>25</v>
      </c>
      <c r="B69" s="8">
        <v>0.15870000000000001</v>
      </c>
      <c r="C69" s="22" t="s">
        <v>561</v>
      </c>
      <c r="D69" s="8" t="s">
        <v>730</v>
      </c>
      <c r="E69" s="8">
        <v>41</v>
      </c>
      <c r="F69" s="8">
        <v>3</v>
      </c>
      <c r="G69" s="8">
        <f t="shared" si="3"/>
        <v>9</v>
      </c>
      <c r="H69">
        <v>6.6000000000000003E-2</v>
      </c>
      <c r="I69">
        <f t="shared" si="4"/>
        <v>1.32</v>
      </c>
      <c r="J69">
        <f t="shared" si="5"/>
        <v>0.99</v>
      </c>
      <c r="K69" s="8" t="s">
        <v>730</v>
      </c>
    </row>
    <row r="70" spans="1:11" x14ac:dyDescent="0.2">
      <c r="A70" s="8" t="s">
        <v>97</v>
      </c>
      <c r="B70" s="8">
        <v>0.17169999999999999</v>
      </c>
      <c r="C70" s="22" t="s">
        <v>562</v>
      </c>
      <c r="D70" s="8" t="s">
        <v>731</v>
      </c>
      <c r="E70" s="8">
        <v>41</v>
      </c>
      <c r="F70" s="8">
        <v>3</v>
      </c>
      <c r="G70" s="8">
        <f t="shared" si="3"/>
        <v>9</v>
      </c>
      <c r="H70">
        <v>0.123</v>
      </c>
      <c r="I70">
        <f t="shared" si="4"/>
        <v>2.46</v>
      </c>
      <c r="J70">
        <f t="shared" si="5"/>
        <v>1.845</v>
      </c>
      <c r="K70" s="8" t="s">
        <v>731</v>
      </c>
    </row>
    <row r="71" spans="1:11" x14ac:dyDescent="0.2">
      <c r="A71" s="8" t="s">
        <v>106</v>
      </c>
      <c r="B71" s="8">
        <v>0.21869999999999998</v>
      </c>
      <c r="C71" s="22" t="s">
        <v>563</v>
      </c>
      <c r="D71" s="8" t="s">
        <v>732</v>
      </c>
      <c r="E71" s="8">
        <v>41</v>
      </c>
      <c r="F71" s="8">
        <v>3</v>
      </c>
      <c r="G71" s="8">
        <f t="shared" si="3"/>
        <v>9</v>
      </c>
      <c r="H71">
        <v>0.152</v>
      </c>
      <c r="I71">
        <f t="shared" si="4"/>
        <v>3.04</v>
      </c>
      <c r="J71">
        <f t="shared" si="5"/>
        <v>2.2799999999999998</v>
      </c>
      <c r="K71" s="8" t="s">
        <v>732</v>
      </c>
    </row>
    <row r="72" spans="1:11" x14ac:dyDescent="0.2">
      <c r="A72" s="8" t="s">
        <v>71</v>
      </c>
      <c r="B72" s="8">
        <v>0.23769999999999999</v>
      </c>
      <c r="C72" s="22" t="s">
        <v>564</v>
      </c>
      <c r="D72" s="8" t="s">
        <v>733</v>
      </c>
      <c r="E72" s="8">
        <v>41</v>
      </c>
      <c r="F72" s="8">
        <v>3</v>
      </c>
      <c r="G72" s="8">
        <f t="shared" si="3"/>
        <v>9</v>
      </c>
      <c r="H72">
        <v>0.12</v>
      </c>
      <c r="I72">
        <f t="shared" si="4"/>
        <v>2.4</v>
      </c>
      <c r="J72">
        <f t="shared" si="5"/>
        <v>1.7999999999999998</v>
      </c>
      <c r="K72" s="8" t="s">
        <v>733</v>
      </c>
    </row>
    <row r="73" spans="1:11" x14ac:dyDescent="0.2">
      <c r="A73" s="8" t="s">
        <v>23</v>
      </c>
      <c r="B73" s="8">
        <v>0.25170000000000003</v>
      </c>
      <c r="C73" s="22" t="s">
        <v>565</v>
      </c>
      <c r="D73" s="8" t="s">
        <v>734</v>
      </c>
      <c r="E73" s="8">
        <v>41</v>
      </c>
      <c r="F73" s="8">
        <v>3</v>
      </c>
      <c r="G73" s="8">
        <f t="shared" si="3"/>
        <v>9</v>
      </c>
      <c r="H73">
        <v>0.14099999999999999</v>
      </c>
      <c r="I73">
        <f t="shared" si="4"/>
        <v>2.82</v>
      </c>
      <c r="J73">
        <f t="shared" si="5"/>
        <v>2.1149999999999998</v>
      </c>
      <c r="K73" s="8" t="s">
        <v>734</v>
      </c>
    </row>
    <row r="74" spans="1:11" x14ac:dyDescent="0.2">
      <c r="A74" s="8" t="s">
        <v>251</v>
      </c>
      <c r="B74" s="8">
        <v>0.25370000000000004</v>
      </c>
      <c r="C74" s="22" t="s">
        <v>619</v>
      </c>
      <c r="D74" s="8" t="s">
        <v>735</v>
      </c>
      <c r="E74" s="8">
        <v>40</v>
      </c>
      <c r="F74" s="8">
        <v>3</v>
      </c>
      <c r="G74" s="8">
        <f t="shared" si="3"/>
        <v>10</v>
      </c>
      <c r="H74">
        <v>0.114</v>
      </c>
      <c r="I74">
        <f t="shared" si="4"/>
        <v>2.2800000000000002</v>
      </c>
      <c r="J74">
        <f t="shared" si="5"/>
        <v>1.71</v>
      </c>
      <c r="K74" s="8" t="s">
        <v>735</v>
      </c>
    </row>
    <row r="75" spans="1:11" x14ac:dyDescent="0.2">
      <c r="A75" s="8" t="s">
        <v>148</v>
      </c>
      <c r="B75" s="8">
        <v>0.26370000000000005</v>
      </c>
      <c r="C75" s="22" t="s">
        <v>566</v>
      </c>
      <c r="D75" s="8" t="s">
        <v>736</v>
      </c>
      <c r="E75" s="8">
        <v>40</v>
      </c>
      <c r="F75" s="8">
        <v>3</v>
      </c>
      <c r="G75" s="8">
        <f t="shared" si="3"/>
        <v>10</v>
      </c>
      <c r="H75">
        <v>0.13200000000000001</v>
      </c>
      <c r="I75">
        <f t="shared" si="4"/>
        <v>2.64</v>
      </c>
      <c r="J75">
        <f t="shared" si="5"/>
        <v>1.98</v>
      </c>
      <c r="K75" s="8" t="s">
        <v>736</v>
      </c>
    </row>
    <row r="76" spans="1:11" x14ac:dyDescent="0.2">
      <c r="A76" s="8" t="s">
        <v>112</v>
      </c>
      <c r="B76" s="8">
        <v>0.27770000000000006</v>
      </c>
      <c r="C76" s="22" t="s">
        <v>567</v>
      </c>
      <c r="D76" s="8" t="s">
        <v>737</v>
      </c>
      <c r="E76" s="8">
        <v>41</v>
      </c>
      <c r="F76" s="8">
        <v>3</v>
      </c>
      <c r="G76" s="8">
        <f t="shared" si="3"/>
        <v>9</v>
      </c>
      <c r="H76">
        <v>0.14499999999999999</v>
      </c>
      <c r="I76">
        <f t="shared" si="4"/>
        <v>2.9</v>
      </c>
      <c r="J76">
        <f t="shared" si="5"/>
        <v>2.1749999999999998</v>
      </c>
      <c r="K76" s="8" t="s">
        <v>737</v>
      </c>
    </row>
    <row r="77" spans="1:11" x14ac:dyDescent="0.2">
      <c r="A77" s="8" t="s">
        <v>284</v>
      </c>
      <c r="B77" s="8">
        <v>0.28669999999999995</v>
      </c>
      <c r="C77" s="22" t="s">
        <v>620</v>
      </c>
      <c r="D77" s="8" t="s">
        <v>738</v>
      </c>
      <c r="E77" s="8">
        <v>41</v>
      </c>
      <c r="F77" s="8">
        <v>3</v>
      </c>
      <c r="G77" s="8">
        <f t="shared" si="3"/>
        <v>9</v>
      </c>
      <c r="H77">
        <v>0.153</v>
      </c>
      <c r="I77">
        <f t="shared" si="4"/>
        <v>3.06</v>
      </c>
      <c r="J77">
        <f t="shared" si="5"/>
        <v>2.2949999999999999</v>
      </c>
      <c r="K77" s="8" t="s">
        <v>738</v>
      </c>
    </row>
    <row r="78" spans="1:11" x14ac:dyDescent="0.2">
      <c r="A78" s="8" t="s">
        <v>127</v>
      </c>
      <c r="B78" s="8">
        <v>0.31969999999999998</v>
      </c>
      <c r="C78" s="22" t="s">
        <v>568</v>
      </c>
      <c r="D78" s="8" t="s">
        <v>739</v>
      </c>
      <c r="E78" s="8">
        <v>40</v>
      </c>
      <c r="F78" s="8">
        <v>3</v>
      </c>
      <c r="G78" s="8">
        <f t="shared" si="3"/>
        <v>10</v>
      </c>
      <c r="H78">
        <v>0.16700000000000001</v>
      </c>
      <c r="I78">
        <f t="shared" si="4"/>
        <v>3.3400000000000003</v>
      </c>
      <c r="J78">
        <f t="shared" si="5"/>
        <v>2.5050000000000003</v>
      </c>
      <c r="K78" s="8" t="s">
        <v>739</v>
      </c>
    </row>
    <row r="79" spans="1:11" x14ac:dyDescent="0.2">
      <c r="A79" s="8" t="s">
        <v>389</v>
      </c>
      <c r="B79" s="8">
        <v>0.32169999999999999</v>
      </c>
      <c r="C79" s="22" t="s">
        <v>621</v>
      </c>
      <c r="D79" s="8" t="s">
        <v>740</v>
      </c>
      <c r="E79" s="8">
        <v>40</v>
      </c>
      <c r="F79" s="8">
        <v>3</v>
      </c>
      <c r="G79" s="8">
        <f t="shared" si="3"/>
        <v>10</v>
      </c>
      <c r="H79">
        <v>0.221</v>
      </c>
      <c r="I79">
        <f t="shared" si="4"/>
        <v>4.42</v>
      </c>
      <c r="J79">
        <f t="shared" si="5"/>
        <v>3.3149999999999999</v>
      </c>
      <c r="K79" s="8" t="s">
        <v>740</v>
      </c>
    </row>
    <row r="80" spans="1:11" x14ac:dyDescent="0.2">
      <c r="A80" s="8" t="s">
        <v>193</v>
      </c>
      <c r="B80" s="8">
        <v>0.3377</v>
      </c>
      <c r="C80" s="22" t="s">
        <v>569</v>
      </c>
      <c r="D80" s="8" t="s">
        <v>741</v>
      </c>
      <c r="E80" s="8">
        <v>40</v>
      </c>
      <c r="F80" s="8">
        <v>3</v>
      </c>
      <c r="G80" s="8">
        <f t="shared" si="3"/>
        <v>10</v>
      </c>
      <c r="H80">
        <v>0.20799999999999999</v>
      </c>
      <c r="I80">
        <f t="shared" si="4"/>
        <v>4.16</v>
      </c>
      <c r="J80">
        <f t="shared" si="5"/>
        <v>3.1199999999999997</v>
      </c>
      <c r="K80" s="8" t="s">
        <v>741</v>
      </c>
    </row>
    <row r="81" spans="1:11" x14ac:dyDescent="0.2">
      <c r="A81" s="8" t="s">
        <v>43</v>
      </c>
      <c r="B81" s="8">
        <v>0.34370000000000001</v>
      </c>
      <c r="C81" s="22" t="s">
        <v>570</v>
      </c>
      <c r="D81" s="8" t="s">
        <v>742</v>
      </c>
      <c r="E81" s="8">
        <v>40</v>
      </c>
      <c r="F81" s="8">
        <v>3</v>
      </c>
      <c r="G81" s="8">
        <f t="shared" si="3"/>
        <v>10</v>
      </c>
      <c r="H81">
        <v>0.13900000000000001</v>
      </c>
      <c r="I81">
        <f t="shared" si="4"/>
        <v>2.7800000000000002</v>
      </c>
      <c r="J81">
        <f t="shared" si="5"/>
        <v>2.085</v>
      </c>
      <c r="K81" s="8" t="s">
        <v>742</v>
      </c>
    </row>
    <row r="82" spans="1:11" x14ac:dyDescent="0.2">
      <c r="A82" s="8" t="s">
        <v>214</v>
      </c>
      <c r="B82" s="8">
        <v>0.40370000000000006</v>
      </c>
      <c r="C82" s="22" t="s">
        <v>622</v>
      </c>
      <c r="D82" s="8" t="s">
        <v>743</v>
      </c>
      <c r="E82" s="8">
        <v>41</v>
      </c>
      <c r="F82" s="8">
        <v>3</v>
      </c>
      <c r="G82" s="8">
        <f t="shared" si="3"/>
        <v>9</v>
      </c>
      <c r="H82">
        <v>0.154</v>
      </c>
      <c r="I82">
        <f t="shared" si="4"/>
        <v>3.08</v>
      </c>
      <c r="J82">
        <f t="shared" si="5"/>
        <v>2.31</v>
      </c>
      <c r="K82" s="8" t="s">
        <v>743</v>
      </c>
    </row>
    <row r="83" spans="1:11" x14ac:dyDescent="0.2">
      <c r="A83" s="8" t="s">
        <v>47</v>
      </c>
      <c r="B83" s="8">
        <v>0.41269999999999996</v>
      </c>
      <c r="C83" s="22" t="s">
        <v>571</v>
      </c>
      <c r="D83" s="8" t="s">
        <v>744</v>
      </c>
      <c r="E83" s="8">
        <v>41</v>
      </c>
      <c r="F83" s="8">
        <v>3</v>
      </c>
      <c r="G83" s="8">
        <f t="shared" si="3"/>
        <v>9</v>
      </c>
      <c r="H83">
        <v>0.18099999999999999</v>
      </c>
      <c r="I83">
        <f t="shared" si="4"/>
        <v>3.62</v>
      </c>
      <c r="J83">
        <f t="shared" si="5"/>
        <v>2.7149999999999999</v>
      </c>
      <c r="K83" s="8" t="s">
        <v>744</v>
      </c>
    </row>
    <row r="84" spans="1:11" x14ac:dyDescent="0.2">
      <c r="A84" s="8" t="s">
        <v>245</v>
      </c>
      <c r="B84" s="8">
        <v>0.44369999999999998</v>
      </c>
      <c r="C84" s="22" t="s">
        <v>623</v>
      </c>
      <c r="D84" s="8" t="s">
        <v>745</v>
      </c>
      <c r="E84" s="8">
        <v>40</v>
      </c>
      <c r="F84" s="8">
        <v>3</v>
      </c>
      <c r="G84" s="8">
        <f t="shared" si="3"/>
        <v>10</v>
      </c>
      <c r="H84">
        <v>0.19900000000000001</v>
      </c>
      <c r="I84">
        <f t="shared" si="4"/>
        <v>3.9800000000000004</v>
      </c>
      <c r="J84">
        <f t="shared" si="5"/>
        <v>2.9850000000000003</v>
      </c>
      <c r="K84" s="8" t="s">
        <v>745</v>
      </c>
    </row>
    <row r="85" spans="1:11" x14ac:dyDescent="0.2">
      <c r="A85" s="8" t="s">
        <v>311</v>
      </c>
      <c r="B85" s="8">
        <v>0.49070000000000003</v>
      </c>
      <c r="C85" s="22" t="s">
        <v>624</v>
      </c>
      <c r="D85" s="8" t="s">
        <v>746</v>
      </c>
      <c r="E85" s="8">
        <v>40</v>
      </c>
      <c r="F85" s="8">
        <v>3</v>
      </c>
      <c r="G85" s="8">
        <f t="shared" si="3"/>
        <v>10</v>
      </c>
      <c r="H85">
        <v>0.20599999999999999</v>
      </c>
      <c r="I85">
        <f t="shared" si="4"/>
        <v>4.12</v>
      </c>
      <c r="J85">
        <f t="shared" si="5"/>
        <v>3.09</v>
      </c>
      <c r="K85" s="8" t="s">
        <v>746</v>
      </c>
    </row>
    <row r="86" spans="1:11" x14ac:dyDescent="0.2">
      <c r="A86" s="8" t="s">
        <v>305</v>
      </c>
      <c r="B86" s="8">
        <v>0.49570000000000003</v>
      </c>
      <c r="C86" s="22" t="s">
        <v>625</v>
      </c>
      <c r="D86" s="8" t="s">
        <v>747</v>
      </c>
      <c r="E86" s="8">
        <v>40</v>
      </c>
      <c r="F86" s="8">
        <v>3</v>
      </c>
      <c r="G86" s="8">
        <f t="shared" si="3"/>
        <v>10</v>
      </c>
      <c r="H86">
        <v>0.193</v>
      </c>
      <c r="I86">
        <f t="shared" si="4"/>
        <v>3.8600000000000003</v>
      </c>
      <c r="J86">
        <f t="shared" si="5"/>
        <v>2.895</v>
      </c>
      <c r="K86" s="8" t="s">
        <v>747</v>
      </c>
    </row>
    <row r="87" spans="1:11" x14ac:dyDescent="0.2">
      <c r="A87" s="8" t="s">
        <v>266</v>
      </c>
      <c r="B87" s="8">
        <v>0.72370000000000001</v>
      </c>
      <c r="C87" s="22" t="s">
        <v>626</v>
      </c>
      <c r="D87" s="8" t="s">
        <v>748</v>
      </c>
      <c r="E87" s="8">
        <v>39</v>
      </c>
      <c r="F87" s="8">
        <v>3</v>
      </c>
      <c r="G87" s="8">
        <f t="shared" si="3"/>
        <v>11</v>
      </c>
      <c r="H87">
        <v>0.28299999999999997</v>
      </c>
      <c r="I87">
        <f t="shared" si="4"/>
        <v>5.6599999999999993</v>
      </c>
      <c r="J87">
        <f t="shared" si="5"/>
        <v>4.2449999999999992</v>
      </c>
      <c r="K87" s="8" t="s">
        <v>748</v>
      </c>
    </row>
    <row r="88" spans="1:11" x14ac:dyDescent="0.2">
      <c r="A88" s="8" t="s">
        <v>208</v>
      </c>
      <c r="B88" s="8">
        <v>0</v>
      </c>
      <c r="C88" s="22" t="s">
        <v>572</v>
      </c>
      <c r="D88" s="8" t="s">
        <v>749</v>
      </c>
      <c r="E88" s="8">
        <v>31</v>
      </c>
      <c r="F88" s="8">
        <v>3</v>
      </c>
      <c r="G88" s="8">
        <f t="shared" si="3"/>
        <v>19</v>
      </c>
      <c r="H88">
        <v>0.14199999999999999</v>
      </c>
      <c r="I88">
        <f t="shared" si="4"/>
        <v>2.84</v>
      </c>
      <c r="J88">
        <f t="shared" si="5"/>
        <v>2.13</v>
      </c>
      <c r="K88" s="8" t="s">
        <v>749</v>
      </c>
    </row>
    <row r="89" spans="1:11" x14ac:dyDescent="0.2">
      <c r="A89" s="8" t="s">
        <v>196</v>
      </c>
      <c r="B89" s="8">
        <v>0</v>
      </c>
      <c r="C89" s="22" t="s">
        <v>573</v>
      </c>
      <c r="D89" s="8" t="s">
        <v>750</v>
      </c>
      <c r="E89" s="8">
        <v>31</v>
      </c>
      <c r="F89" s="8">
        <v>3</v>
      </c>
      <c r="G89" s="8">
        <f t="shared" si="3"/>
        <v>19</v>
      </c>
      <c r="H89">
        <v>9.1300000000000006E-2</v>
      </c>
      <c r="I89">
        <f t="shared" si="4"/>
        <v>1.8260000000000001</v>
      </c>
      <c r="J89">
        <f t="shared" si="5"/>
        <v>1.3695000000000002</v>
      </c>
      <c r="K89" s="8" t="s">
        <v>750</v>
      </c>
    </row>
    <row r="90" spans="1:11" x14ac:dyDescent="0.2">
      <c r="A90" s="8" t="s">
        <v>91</v>
      </c>
      <c r="B90" s="8">
        <v>0</v>
      </c>
      <c r="C90" s="22" t="s">
        <v>574</v>
      </c>
      <c r="D90" s="8" t="s">
        <v>751</v>
      </c>
      <c r="E90" s="8">
        <v>39</v>
      </c>
      <c r="F90" s="8">
        <v>3</v>
      </c>
      <c r="G90" s="8">
        <f t="shared" si="3"/>
        <v>11</v>
      </c>
      <c r="H90">
        <v>8.0699999999999994E-2</v>
      </c>
      <c r="I90">
        <f t="shared" si="4"/>
        <v>1.6139999999999999</v>
      </c>
      <c r="J90">
        <f t="shared" si="5"/>
        <v>1.2104999999999999</v>
      </c>
      <c r="K90" s="8" t="s">
        <v>751</v>
      </c>
    </row>
    <row r="91" spans="1:11" x14ac:dyDescent="0.2">
      <c r="A91" s="8" t="s">
        <v>118</v>
      </c>
      <c r="B91" s="8">
        <v>1.3999999999999957E-2</v>
      </c>
      <c r="C91" s="22" t="s">
        <v>575</v>
      </c>
      <c r="D91" s="8" t="s">
        <v>752</v>
      </c>
      <c r="E91" s="8">
        <v>40</v>
      </c>
      <c r="F91" s="8">
        <v>3</v>
      </c>
      <c r="G91" s="8">
        <f t="shared" si="3"/>
        <v>10</v>
      </c>
      <c r="H91">
        <v>0.115</v>
      </c>
      <c r="I91">
        <f t="shared" si="4"/>
        <v>2.3000000000000003</v>
      </c>
      <c r="J91">
        <f t="shared" si="5"/>
        <v>1.7250000000000001</v>
      </c>
      <c r="K91" s="8" t="s">
        <v>752</v>
      </c>
    </row>
    <row r="92" spans="1:11" x14ac:dyDescent="0.2">
      <c r="A92" s="8" t="s">
        <v>199</v>
      </c>
      <c r="B92" s="8">
        <v>1.699999999999996E-2</v>
      </c>
      <c r="C92" s="22" t="s">
        <v>576</v>
      </c>
      <c r="D92" s="8" t="s">
        <v>753</v>
      </c>
      <c r="E92" s="8">
        <v>40</v>
      </c>
      <c r="F92" s="8">
        <v>3</v>
      </c>
      <c r="G92" s="8">
        <f t="shared" si="3"/>
        <v>10</v>
      </c>
      <c r="H92">
        <v>0.11</v>
      </c>
      <c r="I92">
        <f t="shared" si="4"/>
        <v>2.2000000000000002</v>
      </c>
      <c r="J92">
        <f t="shared" si="5"/>
        <v>1.65</v>
      </c>
      <c r="K92" s="8" t="s">
        <v>753</v>
      </c>
    </row>
    <row r="93" spans="1:11" x14ac:dyDescent="0.2">
      <c r="A93" s="8" t="s">
        <v>27</v>
      </c>
      <c r="B93" s="8">
        <v>2.2999999999999965E-2</v>
      </c>
      <c r="C93" s="22" t="s">
        <v>577</v>
      </c>
      <c r="D93" s="8" t="s">
        <v>754</v>
      </c>
      <c r="E93" s="8">
        <v>39</v>
      </c>
      <c r="F93" s="8">
        <v>3</v>
      </c>
      <c r="G93" s="8">
        <f t="shared" si="3"/>
        <v>11</v>
      </c>
      <c r="H93">
        <v>9.3299999999999994E-2</v>
      </c>
      <c r="I93">
        <f t="shared" si="4"/>
        <v>1.8659999999999999</v>
      </c>
      <c r="J93">
        <f t="shared" si="5"/>
        <v>1.3995</v>
      </c>
      <c r="K93" s="8" t="s">
        <v>754</v>
      </c>
    </row>
    <row r="94" spans="1:11" x14ac:dyDescent="0.2">
      <c r="A94" s="8" t="s">
        <v>172</v>
      </c>
      <c r="B94" s="8">
        <v>2.5999999999999968E-2</v>
      </c>
      <c r="C94" s="22" t="s">
        <v>578</v>
      </c>
      <c r="D94" s="8" t="s">
        <v>755</v>
      </c>
      <c r="E94" s="8">
        <v>40</v>
      </c>
      <c r="F94" s="8">
        <v>3</v>
      </c>
      <c r="G94" s="8">
        <f t="shared" si="3"/>
        <v>10</v>
      </c>
      <c r="H94">
        <v>0.115</v>
      </c>
      <c r="I94">
        <f t="shared" si="4"/>
        <v>2.3000000000000003</v>
      </c>
      <c r="J94">
        <f t="shared" si="5"/>
        <v>1.7250000000000001</v>
      </c>
      <c r="K94" s="8" t="s">
        <v>755</v>
      </c>
    </row>
    <row r="95" spans="1:11" x14ac:dyDescent="0.2">
      <c r="A95" s="8" t="s">
        <v>166</v>
      </c>
      <c r="B95" s="8">
        <v>4.2999999999999983E-2</v>
      </c>
      <c r="C95" s="22" t="s">
        <v>579</v>
      </c>
      <c r="D95" s="8" t="s">
        <v>756</v>
      </c>
      <c r="E95" s="8">
        <v>39</v>
      </c>
      <c r="F95" s="8">
        <v>3</v>
      </c>
      <c r="G95" s="8">
        <f t="shared" si="3"/>
        <v>11</v>
      </c>
      <c r="H95">
        <v>0.111</v>
      </c>
      <c r="I95">
        <f t="shared" si="4"/>
        <v>2.2200000000000002</v>
      </c>
      <c r="J95">
        <f t="shared" si="5"/>
        <v>1.665</v>
      </c>
      <c r="K95" s="8" t="s">
        <v>756</v>
      </c>
    </row>
    <row r="96" spans="1:11" x14ac:dyDescent="0.2">
      <c r="A96" s="8" t="s">
        <v>16</v>
      </c>
      <c r="B96" s="8">
        <v>4.5999999999999985E-2</v>
      </c>
      <c r="C96" s="22" t="s">
        <v>580</v>
      </c>
      <c r="D96" s="8" t="s">
        <v>757</v>
      </c>
      <c r="E96" s="8">
        <v>40</v>
      </c>
      <c r="F96" s="8">
        <v>3</v>
      </c>
      <c r="G96" s="8">
        <f t="shared" si="3"/>
        <v>10</v>
      </c>
      <c r="H96">
        <v>0.09</v>
      </c>
      <c r="I96">
        <f t="shared" si="4"/>
        <v>1.7999999999999998</v>
      </c>
      <c r="J96">
        <f t="shared" si="5"/>
        <v>1.3499999999999999</v>
      </c>
      <c r="K96" s="8" t="s">
        <v>757</v>
      </c>
    </row>
    <row r="97" spans="1:11" x14ac:dyDescent="0.2">
      <c r="A97" s="8" t="s">
        <v>187</v>
      </c>
      <c r="B97" s="8">
        <v>4.8999999999999988E-2</v>
      </c>
      <c r="C97" s="22" t="s">
        <v>581</v>
      </c>
      <c r="D97" s="8" t="s">
        <v>758</v>
      </c>
      <c r="E97" s="8">
        <v>39</v>
      </c>
      <c r="F97" s="8">
        <v>3</v>
      </c>
      <c r="G97" s="8">
        <f t="shared" si="3"/>
        <v>11</v>
      </c>
      <c r="H97">
        <v>6.5299999999999997E-2</v>
      </c>
      <c r="I97">
        <f t="shared" si="4"/>
        <v>1.306</v>
      </c>
      <c r="J97">
        <f t="shared" si="5"/>
        <v>0.97949999999999993</v>
      </c>
      <c r="K97" s="8" t="s">
        <v>758</v>
      </c>
    </row>
    <row r="98" spans="1:11" x14ac:dyDescent="0.2">
      <c r="A98" s="8" t="s">
        <v>308</v>
      </c>
      <c r="B98" s="8">
        <v>5.2999999999999992E-2</v>
      </c>
      <c r="C98" s="22" t="s">
        <v>628</v>
      </c>
      <c r="D98" s="8" t="s">
        <v>759</v>
      </c>
      <c r="E98" s="8">
        <v>41</v>
      </c>
      <c r="F98" s="8">
        <v>4</v>
      </c>
      <c r="G98" s="8">
        <f t="shared" si="3"/>
        <v>9</v>
      </c>
      <c r="H98">
        <v>9.8699999999999996E-2</v>
      </c>
      <c r="I98">
        <f t="shared" si="4"/>
        <v>1.974</v>
      </c>
      <c r="J98">
        <f t="shared" si="5"/>
        <v>1.4804999999999999</v>
      </c>
      <c r="K98" s="8" t="s">
        <v>759</v>
      </c>
    </row>
    <row r="99" spans="1:11" x14ac:dyDescent="0.2">
      <c r="A99" s="8" t="s">
        <v>77</v>
      </c>
      <c r="B99" s="8">
        <v>8.5999999999999965E-2</v>
      </c>
      <c r="C99" s="22" t="s">
        <v>582</v>
      </c>
      <c r="D99" s="8" t="s">
        <v>760</v>
      </c>
      <c r="E99" s="8">
        <v>40</v>
      </c>
      <c r="F99" s="8">
        <v>4</v>
      </c>
      <c r="G99" s="8">
        <f t="shared" si="3"/>
        <v>10</v>
      </c>
      <c r="H99">
        <v>0.123</v>
      </c>
      <c r="I99">
        <f t="shared" si="4"/>
        <v>2.46</v>
      </c>
      <c r="J99">
        <f t="shared" si="5"/>
        <v>1.845</v>
      </c>
      <c r="K99" s="8" t="s">
        <v>760</v>
      </c>
    </row>
    <row r="100" spans="1:11" x14ac:dyDescent="0.2">
      <c r="A100" s="8" t="s">
        <v>88</v>
      </c>
      <c r="B100" s="8">
        <v>8.5999999999999965E-2</v>
      </c>
      <c r="C100" s="22" t="s">
        <v>583</v>
      </c>
      <c r="D100" s="8" t="s">
        <v>761</v>
      </c>
      <c r="E100" s="8">
        <v>40</v>
      </c>
      <c r="F100" s="8">
        <v>4</v>
      </c>
      <c r="G100" s="8">
        <f t="shared" si="3"/>
        <v>10</v>
      </c>
      <c r="H100">
        <v>0.107</v>
      </c>
      <c r="I100">
        <f t="shared" si="4"/>
        <v>2.14</v>
      </c>
      <c r="J100">
        <f t="shared" si="5"/>
        <v>1.605</v>
      </c>
      <c r="K100" s="8" t="s">
        <v>761</v>
      </c>
    </row>
    <row r="101" spans="1:11" x14ac:dyDescent="0.2">
      <c r="A101" s="8" t="s">
        <v>314</v>
      </c>
      <c r="B101" s="8">
        <v>8.6999999999999966E-2</v>
      </c>
      <c r="C101" s="22" t="s">
        <v>629</v>
      </c>
      <c r="D101" s="8" t="s">
        <v>502</v>
      </c>
      <c r="E101" s="8">
        <v>40</v>
      </c>
      <c r="F101" s="8">
        <v>4</v>
      </c>
      <c r="G101" s="8">
        <f t="shared" si="3"/>
        <v>10</v>
      </c>
      <c r="H101">
        <v>0.14000000000000001</v>
      </c>
      <c r="I101">
        <f t="shared" si="4"/>
        <v>2.8000000000000003</v>
      </c>
      <c r="J101">
        <f t="shared" si="5"/>
        <v>2.1</v>
      </c>
      <c r="K101" s="8" t="s">
        <v>502</v>
      </c>
    </row>
    <row r="102" spans="1:11" x14ac:dyDescent="0.2">
      <c r="A102" s="8" t="s">
        <v>368</v>
      </c>
      <c r="B102" s="8">
        <v>9.9999999999999978E-2</v>
      </c>
      <c r="C102" s="22" t="s">
        <v>630</v>
      </c>
      <c r="D102" s="8" t="s">
        <v>503</v>
      </c>
      <c r="E102" s="8">
        <v>40</v>
      </c>
      <c r="F102" s="8">
        <v>4</v>
      </c>
      <c r="G102" s="8">
        <f t="shared" si="3"/>
        <v>10</v>
      </c>
      <c r="H102">
        <v>0.13200000000000001</v>
      </c>
      <c r="I102">
        <f t="shared" si="4"/>
        <v>2.64</v>
      </c>
      <c r="J102">
        <f t="shared" si="5"/>
        <v>1.98</v>
      </c>
      <c r="K102" s="8" t="s">
        <v>503</v>
      </c>
    </row>
    <row r="103" spans="1:11" x14ac:dyDescent="0.2">
      <c r="A103" s="8" t="s">
        <v>109</v>
      </c>
      <c r="B103" s="8">
        <v>0.16499999999999992</v>
      </c>
      <c r="C103" s="22" t="s">
        <v>584</v>
      </c>
      <c r="D103" s="8" t="s">
        <v>762</v>
      </c>
      <c r="E103" s="8">
        <v>40</v>
      </c>
      <c r="F103" s="8">
        <v>4</v>
      </c>
      <c r="G103" s="8">
        <f t="shared" si="3"/>
        <v>10</v>
      </c>
      <c r="H103">
        <v>0.153</v>
      </c>
      <c r="I103">
        <f t="shared" si="4"/>
        <v>3.06</v>
      </c>
      <c r="J103">
        <f t="shared" si="5"/>
        <v>2.2949999999999999</v>
      </c>
      <c r="K103" s="8" t="s">
        <v>762</v>
      </c>
    </row>
    <row r="104" spans="1:11" x14ac:dyDescent="0.2">
      <c r="A104" s="8" t="s">
        <v>242</v>
      </c>
      <c r="B104" s="8">
        <v>0.19599999999999995</v>
      </c>
      <c r="C104" s="22" t="s">
        <v>631</v>
      </c>
      <c r="D104" s="8" t="s">
        <v>763</v>
      </c>
      <c r="E104" s="8">
        <v>40</v>
      </c>
      <c r="F104" s="8">
        <v>4</v>
      </c>
      <c r="G104" s="8">
        <f t="shared" si="3"/>
        <v>10</v>
      </c>
      <c r="H104">
        <v>0.13600000000000001</v>
      </c>
      <c r="I104">
        <f t="shared" si="4"/>
        <v>2.72</v>
      </c>
      <c r="J104">
        <f t="shared" si="5"/>
        <v>2.04</v>
      </c>
      <c r="K104" s="8" t="s">
        <v>763</v>
      </c>
    </row>
    <row r="105" spans="1:11" x14ac:dyDescent="0.2">
      <c r="A105" s="8" t="s">
        <v>299</v>
      </c>
      <c r="B105" s="8">
        <v>0.20399999999999996</v>
      </c>
      <c r="C105" s="22" t="s">
        <v>632</v>
      </c>
      <c r="D105" s="8" t="s">
        <v>764</v>
      </c>
      <c r="E105" s="8">
        <v>40</v>
      </c>
      <c r="F105" s="8">
        <v>4</v>
      </c>
      <c r="G105" s="8">
        <f t="shared" si="3"/>
        <v>10</v>
      </c>
      <c r="H105">
        <v>0.115</v>
      </c>
      <c r="I105">
        <f t="shared" si="4"/>
        <v>2.3000000000000003</v>
      </c>
      <c r="J105">
        <f t="shared" si="5"/>
        <v>1.7250000000000001</v>
      </c>
      <c r="K105" s="8" t="s">
        <v>764</v>
      </c>
    </row>
    <row r="106" spans="1:11" x14ac:dyDescent="0.2">
      <c r="A106" s="8" t="s">
        <v>100</v>
      </c>
      <c r="B106" s="8">
        <v>0.27200000000000002</v>
      </c>
      <c r="C106" s="22" t="s">
        <v>585</v>
      </c>
      <c r="D106" s="8" t="s">
        <v>765</v>
      </c>
      <c r="E106" s="8">
        <v>37</v>
      </c>
      <c r="F106" s="8">
        <v>4</v>
      </c>
      <c r="G106" s="8">
        <f t="shared" si="3"/>
        <v>13</v>
      </c>
      <c r="H106">
        <v>0.17199999999999999</v>
      </c>
      <c r="I106">
        <f t="shared" si="4"/>
        <v>3.4399999999999995</v>
      </c>
      <c r="J106">
        <f t="shared" si="5"/>
        <v>2.5799999999999996</v>
      </c>
      <c r="K106" s="8" t="s">
        <v>765</v>
      </c>
    </row>
    <row r="107" spans="1:11" x14ac:dyDescent="0.2">
      <c r="A107" s="8" t="s">
        <v>278</v>
      </c>
      <c r="B107" s="8">
        <v>0.57199999999999995</v>
      </c>
      <c r="C107" s="22" t="s">
        <v>633</v>
      </c>
      <c r="D107" s="8" t="s">
        <v>766</v>
      </c>
      <c r="E107" s="8">
        <v>40</v>
      </c>
      <c r="F107" s="8">
        <v>4</v>
      </c>
      <c r="G107" s="8">
        <f t="shared" si="3"/>
        <v>10</v>
      </c>
      <c r="H107">
        <v>0.182</v>
      </c>
      <c r="I107">
        <f t="shared" si="4"/>
        <v>3.6399999999999997</v>
      </c>
      <c r="J107">
        <f t="shared" si="5"/>
        <v>2.73</v>
      </c>
      <c r="K107" s="8" t="s">
        <v>766</v>
      </c>
    </row>
    <row r="108" spans="1:11" x14ac:dyDescent="0.2">
      <c r="A108" s="8" t="s">
        <v>332</v>
      </c>
      <c r="B108" s="8">
        <v>0.629</v>
      </c>
      <c r="C108" s="22" t="s">
        <v>634</v>
      </c>
      <c r="D108" s="8" t="s">
        <v>767</v>
      </c>
      <c r="E108" s="8">
        <v>39</v>
      </c>
      <c r="F108" s="8">
        <v>4</v>
      </c>
      <c r="G108" s="8">
        <f t="shared" si="3"/>
        <v>11</v>
      </c>
      <c r="H108">
        <v>0.217</v>
      </c>
      <c r="I108">
        <f t="shared" si="4"/>
        <v>4.34</v>
      </c>
      <c r="J108">
        <f t="shared" si="5"/>
        <v>3.2549999999999999</v>
      </c>
      <c r="K108" s="8" t="s">
        <v>767</v>
      </c>
    </row>
    <row r="109" spans="1:11" x14ac:dyDescent="0.2">
      <c r="A109" s="8" t="s">
        <v>63</v>
      </c>
      <c r="B109" s="8">
        <v>0.03</v>
      </c>
      <c r="C109" s="22" t="s">
        <v>586</v>
      </c>
      <c r="D109" s="8" t="s">
        <v>768</v>
      </c>
      <c r="E109" s="8">
        <v>40</v>
      </c>
      <c r="F109" s="8">
        <v>4</v>
      </c>
      <c r="G109" s="8">
        <f t="shared" si="3"/>
        <v>10</v>
      </c>
      <c r="H109">
        <v>0.17100000000000001</v>
      </c>
      <c r="I109">
        <f t="shared" si="4"/>
        <v>3.4200000000000004</v>
      </c>
      <c r="J109">
        <f t="shared" si="5"/>
        <v>2.5650000000000004</v>
      </c>
      <c r="K109" s="8" t="s">
        <v>768</v>
      </c>
    </row>
    <row r="110" spans="1:11" x14ac:dyDescent="0.2">
      <c r="A110" s="8" t="s">
        <v>338</v>
      </c>
      <c r="B110" s="8">
        <v>0.10200000000000001</v>
      </c>
      <c r="C110" s="22" t="s">
        <v>635</v>
      </c>
      <c r="D110" s="8" t="s">
        <v>769</v>
      </c>
      <c r="E110" s="8">
        <v>40</v>
      </c>
      <c r="F110" s="8">
        <v>4</v>
      </c>
      <c r="G110" s="8">
        <f t="shared" si="3"/>
        <v>10</v>
      </c>
      <c r="H110">
        <v>0.158</v>
      </c>
      <c r="I110">
        <f t="shared" si="4"/>
        <v>3.16</v>
      </c>
      <c r="J110">
        <f t="shared" si="5"/>
        <v>2.37</v>
      </c>
      <c r="K110" s="8" t="s">
        <v>769</v>
      </c>
    </row>
    <row r="111" spans="1:11" x14ac:dyDescent="0.2">
      <c r="A111" s="8" t="s">
        <v>163</v>
      </c>
      <c r="B111" s="8">
        <v>0.12200000000000003</v>
      </c>
      <c r="C111" s="22" t="s">
        <v>587</v>
      </c>
      <c r="D111" s="8" t="s">
        <v>770</v>
      </c>
      <c r="E111" s="8">
        <v>40</v>
      </c>
      <c r="F111" s="8">
        <v>4</v>
      </c>
      <c r="G111" s="8">
        <f t="shared" si="3"/>
        <v>10</v>
      </c>
      <c r="H111">
        <v>0.157</v>
      </c>
      <c r="I111">
        <f t="shared" si="4"/>
        <v>3.14</v>
      </c>
      <c r="J111">
        <f t="shared" si="5"/>
        <v>2.355</v>
      </c>
      <c r="K111" s="8" t="s">
        <v>770</v>
      </c>
    </row>
    <row r="112" spans="1:11" x14ac:dyDescent="0.2">
      <c r="A112" s="8" t="s">
        <v>29</v>
      </c>
      <c r="B112" s="8">
        <v>0.12600000000000003</v>
      </c>
      <c r="C112" s="22" t="s">
        <v>588</v>
      </c>
      <c r="D112" s="8" t="s">
        <v>771</v>
      </c>
      <c r="E112" s="8">
        <v>40</v>
      </c>
      <c r="F112" s="8">
        <v>4</v>
      </c>
      <c r="G112" s="8">
        <f t="shared" si="3"/>
        <v>10</v>
      </c>
      <c r="H112">
        <v>0.10100000000000001</v>
      </c>
      <c r="I112">
        <f t="shared" si="4"/>
        <v>2.02</v>
      </c>
      <c r="J112">
        <f t="shared" si="5"/>
        <v>1.5150000000000001</v>
      </c>
      <c r="K112" s="8" t="s">
        <v>771</v>
      </c>
    </row>
    <row r="113" spans="1:11" x14ac:dyDescent="0.2">
      <c r="A113" s="8" t="s">
        <v>353</v>
      </c>
      <c r="B113" s="8">
        <v>0.14399999999999999</v>
      </c>
      <c r="C113" s="22" t="s">
        <v>636</v>
      </c>
      <c r="D113" s="8" t="s">
        <v>772</v>
      </c>
      <c r="E113" s="8">
        <v>40</v>
      </c>
      <c r="F113" s="8">
        <v>4</v>
      </c>
      <c r="G113" s="8">
        <f t="shared" si="3"/>
        <v>10</v>
      </c>
      <c r="H113">
        <v>0.17299999999999999</v>
      </c>
      <c r="I113">
        <f t="shared" si="4"/>
        <v>3.46</v>
      </c>
      <c r="J113">
        <f t="shared" si="5"/>
        <v>2.5949999999999998</v>
      </c>
      <c r="K113" s="8" t="s">
        <v>772</v>
      </c>
    </row>
    <row r="114" spans="1:11" x14ac:dyDescent="0.2">
      <c r="A114" s="8" t="s">
        <v>392</v>
      </c>
      <c r="B114" s="8">
        <v>0.18600000000000003</v>
      </c>
      <c r="C114" s="22" t="s">
        <v>638</v>
      </c>
      <c r="D114" s="8" t="s">
        <v>773</v>
      </c>
      <c r="E114" s="8">
        <v>38</v>
      </c>
      <c r="F114" s="8">
        <v>4</v>
      </c>
      <c r="G114" s="8">
        <f t="shared" si="3"/>
        <v>12</v>
      </c>
      <c r="H114">
        <v>0.11700000000000001</v>
      </c>
      <c r="I114">
        <f t="shared" si="4"/>
        <v>2.3400000000000003</v>
      </c>
      <c r="J114">
        <f t="shared" si="5"/>
        <v>1.7550000000000001</v>
      </c>
      <c r="K114" s="8" t="s">
        <v>773</v>
      </c>
    </row>
    <row r="115" spans="1:11" x14ac:dyDescent="0.2">
      <c r="A115" s="8" t="s">
        <v>136</v>
      </c>
      <c r="B115" s="8">
        <v>0.19600000000000004</v>
      </c>
      <c r="C115" s="22" t="s">
        <v>589</v>
      </c>
      <c r="D115" s="8" t="s">
        <v>774</v>
      </c>
      <c r="E115" s="8">
        <v>40</v>
      </c>
      <c r="F115" s="8">
        <v>4</v>
      </c>
      <c r="G115" s="8">
        <f t="shared" si="3"/>
        <v>10</v>
      </c>
      <c r="H115">
        <v>0.125</v>
      </c>
      <c r="I115">
        <f t="shared" si="4"/>
        <v>2.5</v>
      </c>
      <c r="J115">
        <f t="shared" si="5"/>
        <v>1.875</v>
      </c>
      <c r="K115" s="8" t="s">
        <v>774</v>
      </c>
    </row>
    <row r="116" spans="1:11" x14ac:dyDescent="0.2">
      <c r="A116" s="8" t="s">
        <v>175</v>
      </c>
      <c r="B116" s="8">
        <v>0.20699999999999999</v>
      </c>
      <c r="C116" s="22" t="s">
        <v>590</v>
      </c>
      <c r="D116" s="8" t="s">
        <v>775</v>
      </c>
      <c r="E116" s="8">
        <v>40</v>
      </c>
      <c r="F116" s="8">
        <v>4</v>
      </c>
      <c r="G116" s="8">
        <f t="shared" si="3"/>
        <v>10</v>
      </c>
      <c r="H116">
        <v>0.13300000000000001</v>
      </c>
      <c r="I116">
        <f t="shared" si="4"/>
        <v>2.66</v>
      </c>
      <c r="J116">
        <f t="shared" si="5"/>
        <v>1.9950000000000001</v>
      </c>
      <c r="K116" s="8" t="s">
        <v>775</v>
      </c>
    </row>
    <row r="117" spans="1:11" x14ac:dyDescent="0.2">
      <c r="A117" s="8" t="s">
        <v>335</v>
      </c>
      <c r="B117" s="8">
        <v>0.216</v>
      </c>
      <c r="C117" s="22" t="s">
        <v>639</v>
      </c>
      <c r="D117" s="8" t="s">
        <v>776</v>
      </c>
      <c r="E117" s="8">
        <v>40</v>
      </c>
      <c r="F117" s="8">
        <v>4</v>
      </c>
      <c r="G117" s="8">
        <f t="shared" si="3"/>
        <v>10</v>
      </c>
      <c r="H117">
        <v>7.3300000000000004E-2</v>
      </c>
      <c r="I117">
        <f t="shared" si="4"/>
        <v>1.4660000000000002</v>
      </c>
      <c r="J117">
        <f t="shared" si="5"/>
        <v>1.0995000000000001</v>
      </c>
      <c r="K117" s="8" t="s">
        <v>776</v>
      </c>
    </row>
    <row r="118" spans="1:11" x14ac:dyDescent="0.2">
      <c r="A118" s="8" t="s">
        <v>359</v>
      </c>
      <c r="B118" s="8">
        <v>0.219</v>
      </c>
      <c r="C118" s="22" t="s">
        <v>640</v>
      </c>
      <c r="D118" s="8" t="s">
        <v>777</v>
      </c>
      <c r="E118" s="8">
        <v>40</v>
      </c>
      <c r="F118" s="8">
        <v>4</v>
      </c>
      <c r="G118" s="8">
        <f t="shared" si="3"/>
        <v>10</v>
      </c>
      <c r="H118">
        <v>0.14699999999999999</v>
      </c>
      <c r="I118">
        <f t="shared" si="4"/>
        <v>2.94</v>
      </c>
      <c r="J118">
        <f t="shared" si="5"/>
        <v>2.2050000000000001</v>
      </c>
      <c r="K118" s="8" t="s">
        <v>777</v>
      </c>
    </row>
    <row r="119" spans="1:11" x14ac:dyDescent="0.2">
      <c r="A119" s="8" t="s">
        <v>55</v>
      </c>
      <c r="B119" s="8">
        <v>0.23300000000000001</v>
      </c>
      <c r="C119" s="22" t="s">
        <v>591</v>
      </c>
      <c r="D119" s="8" t="s">
        <v>778</v>
      </c>
      <c r="E119" s="8">
        <v>40</v>
      </c>
      <c r="F119" s="8">
        <v>4</v>
      </c>
      <c r="G119" s="8">
        <f t="shared" si="3"/>
        <v>10</v>
      </c>
      <c r="H119">
        <v>0.107</v>
      </c>
      <c r="I119">
        <f t="shared" si="4"/>
        <v>2.14</v>
      </c>
      <c r="J119">
        <f t="shared" si="5"/>
        <v>1.605</v>
      </c>
      <c r="K119" s="8" t="s">
        <v>778</v>
      </c>
    </row>
    <row r="120" spans="1:11" x14ac:dyDescent="0.2">
      <c r="A120" s="8" t="s">
        <v>130</v>
      </c>
      <c r="B120" s="8">
        <v>0.27</v>
      </c>
      <c r="C120" s="22" t="s">
        <v>592</v>
      </c>
      <c r="D120" s="8" t="s">
        <v>779</v>
      </c>
      <c r="E120" s="8">
        <v>40</v>
      </c>
      <c r="F120" s="8">
        <v>4</v>
      </c>
      <c r="G120" s="8">
        <f t="shared" si="3"/>
        <v>10</v>
      </c>
      <c r="H120">
        <v>8.4699999999999998E-2</v>
      </c>
      <c r="I120">
        <f t="shared" si="4"/>
        <v>1.694</v>
      </c>
      <c r="J120">
        <f t="shared" si="5"/>
        <v>1.2705</v>
      </c>
      <c r="K120" s="8" t="s">
        <v>779</v>
      </c>
    </row>
    <row r="121" spans="1:11" x14ac:dyDescent="0.2">
      <c r="A121" s="8" t="s">
        <v>347</v>
      </c>
      <c r="B121" s="8">
        <v>0.27200000000000002</v>
      </c>
      <c r="C121" s="22" t="s">
        <v>641</v>
      </c>
      <c r="D121" s="8" t="s">
        <v>780</v>
      </c>
      <c r="E121" s="8">
        <v>40</v>
      </c>
      <c r="F121" s="8">
        <v>4</v>
      </c>
      <c r="G121" s="8">
        <f t="shared" si="3"/>
        <v>10</v>
      </c>
      <c r="H121">
        <v>0.11700000000000001</v>
      </c>
      <c r="I121">
        <f t="shared" si="4"/>
        <v>2.3400000000000003</v>
      </c>
      <c r="J121">
        <f t="shared" si="5"/>
        <v>1.7550000000000001</v>
      </c>
      <c r="K121" s="8" t="s">
        <v>780</v>
      </c>
    </row>
    <row r="122" spans="1:11" x14ac:dyDescent="0.2">
      <c r="A122" s="8" t="s">
        <v>20</v>
      </c>
      <c r="B122" s="8">
        <v>0.31000000000000005</v>
      </c>
      <c r="C122" s="22" t="s">
        <v>593</v>
      </c>
      <c r="D122" s="8" t="s">
        <v>781</v>
      </c>
      <c r="E122" s="8">
        <v>40</v>
      </c>
      <c r="F122" s="8">
        <v>4</v>
      </c>
      <c r="G122" s="8">
        <f t="shared" si="3"/>
        <v>10</v>
      </c>
      <c r="H122">
        <v>9.0700000000000003E-2</v>
      </c>
      <c r="I122">
        <f t="shared" si="4"/>
        <v>1.8140000000000001</v>
      </c>
      <c r="J122">
        <f t="shared" si="5"/>
        <v>1.3605</v>
      </c>
      <c r="K122" s="8" t="s">
        <v>781</v>
      </c>
    </row>
    <row r="123" spans="1:11" x14ac:dyDescent="0.2">
      <c r="A123" s="8" t="s">
        <v>275</v>
      </c>
      <c r="B123" s="8">
        <v>0.35000000000000009</v>
      </c>
      <c r="C123" s="22" t="s">
        <v>642</v>
      </c>
      <c r="D123" s="8" t="s">
        <v>782</v>
      </c>
      <c r="E123" s="8">
        <v>40</v>
      </c>
      <c r="F123" s="8">
        <v>4</v>
      </c>
      <c r="G123" s="8">
        <f t="shared" si="3"/>
        <v>10</v>
      </c>
      <c r="H123">
        <v>0.13200000000000001</v>
      </c>
      <c r="I123">
        <f t="shared" si="4"/>
        <v>2.64</v>
      </c>
      <c r="J123">
        <f t="shared" si="5"/>
        <v>1.98</v>
      </c>
      <c r="K123" s="8" t="s">
        <v>782</v>
      </c>
    </row>
    <row r="124" spans="1:11" x14ac:dyDescent="0.2">
      <c r="A124" s="8" t="s">
        <v>217</v>
      </c>
      <c r="B124" s="8">
        <v>0.35500000000000009</v>
      </c>
      <c r="C124" s="22" t="s">
        <v>643</v>
      </c>
      <c r="D124" s="8" t="s">
        <v>783</v>
      </c>
      <c r="E124" s="8">
        <v>40</v>
      </c>
      <c r="F124" s="8">
        <v>4</v>
      </c>
      <c r="G124" s="8">
        <f t="shared" si="3"/>
        <v>10</v>
      </c>
      <c r="H124">
        <v>0.114</v>
      </c>
      <c r="I124">
        <f t="shared" si="4"/>
        <v>2.2800000000000002</v>
      </c>
      <c r="J124">
        <f t="shared" si="5"/>
        <v>1.71</v>
      </c>
      <c r="K124" s="8" t="s">
        <v>783</v>
      </c>
    </row>
    <row r="125" spans="1:11" x14ac:dyDescent="0.2">
      <c r="A125" s="8" t="s">
        <v>31</v>
      </c>
      <c r="B125" s="8">
        <v>0.41700000000000004</v>
      </c>
      <c r="C125" s="22" t="s">
        <v>594</v>
      </c>
      <c r="D125" s="8" t="s">
        <v>784</v>
      </c>
      <c r="E125" s="8">
        <v>40</v>
      </c>
      <c r="F125" s="8">
        <v>4</v>
      </c>
      <c r="G125" s="8">
        <f t="shared" si="3"/>
        <v>10</v>
      </c>
      <c r="H125">
        <v>9.4700000000000006E-2</v>
      </c>
      <c r="I125">
        <f t="shared" si="4"/>
        <v>1.8940000000000001</v>
      </c>
      <c r="J125">
        <f t="shared" si="5"/>
        <v>1.4205000000000001</v>
      </c>
      <c r="K125" s="8" t="s">
        <v>784</v>
      </c>
    </row>
    <row r="126" spans="1:11" x14ac:dyDescent="0.2">
      <c r="A126" s="8" t="s">
        <v>160</v>
      </c>
      <c r="B126" s="8">
        <v>0.47500000000000009</v>
      </c>
      <c r="C126" s="22" t="s">
        <v>596</v>
      </c>
      <c r="D126" s="8" t="s">
        <v>785</v>
      </c>
      <c r="E126" s="8">
        <v>40</v>
      </c>
      <c r="F126" s="8">
        <v>4</v>
      </c>
      <c r="G126" s="8">
        <f t="shared" si="3"/>
        <v>10</v>
      </c>
      <c r="H126">
        <v>7.7299999999999994E-2</v>
      </c>
      <c r="I126">
        <f t="shared" si="4"/>
        <v>1.5459999999999998</v>
      </c>
      <c r="J126">
        <f t="shared" si="5"/>
        <v>1.1595</v>
      </c>
      <c r="K126" s="8" t="s">
        <v>785</v>
      </c>
    </row>
    <row r="127" spans="1:11" x14ac:dyDescent="0.2">
      <c r="A127" s="8" t="s">
        <v>233</v>
      </c>
      <c r="B127" s="8">
        <v>0.52200000000000002</v>
      </c>
      <c r="C127" s="22" t="s">
        <v>644</v>
      </c>
      <c r="D127" s="8" t="s">
        <v>786</v>
      </c>
      <c r="E127" s="8">
        <v>40</v>
      </c>
      <c r="F127" s="8">
        <v>4</v>
      </c>
      <c r="G127" s="8">
        <f t="shared" si="3"/>
        <v>10</v>
      </c>
      <c r="H127">
        <v>0.11899999999999999</v>
      </c>
      <c r="I127">
        <f t="shared" si="4"/>
        <v>2.38</v>
      </c>
      <c r="J127">
        <f t="shared" si="5"/>
        <v>1.7849999999999999</v>
      </c>
      <c r="K127" s="8" t="s">
        <v>786</v>
      </c>
    </row>
    <row r="128" spans="1:11" x14ac:dyDescent="0.2">
      <c r="A128" s="8" t="s">
        <v>646</v>
      </c>
      <c r="B128" s="8">
        <v>0</v>
      </c>
      <c r="C128" s="22" t="s">
        <v>650</v>
      </c>
      <c r="D128" s="8" t="s">
        <v>787</v>
      </c>
      <c r="E128" s="8">
        <v>40</v>
      </c>
      <c r="F128" s="8">
        <v>4</v>
      </c>
      <c r="G128" s="8">
        <f t="shared" si="3"/>
        <v>10</v>
      </c>
      <c r="H128">
        <v>5.7299999999999997E-2</v>
      </c>
      <c r="I128">
        <f t="shared" si="4"/>
        <v>1.1459999999999999</v>
      </c>
      <c r="J128">
        <f t="shared" si="5"/>
        <v>0.85949999999999993</v>
      </c>
      <c r="K128" s="8" t="s">
        <v>787</v>
      </c>
    </row>
    <row r="129" spans="1:11" x14ac:dyDescent="0.2">
      <c r="A129" s="8" t="s">
        <v>645</v>
      </c>
      <c r="B129" s="8">
        <v>0</v>
      </c>
      <c r="C129" s="22" t="s">
        <v>651</v>
      </c>
      <c r="D129" s="8" t="s">
        <v>788</v>
      </c>
      <c r="E129" s="8">
        <v>40</v>
      </c>
      <c r="F129" s="8">
        <v>4</v>
      </c>
      <c r="G129" s="8">
        <f t="shared" si="3"/>
        <v>10</v>
      </c>
      <c r="H129">
        <v>8.4000000000000005E-2</v>
      </c>
      <c r="I129">
        <f t="shared" si="4"/>
        <v>1.6800000000000002</v>
      </c>
      <c r="J129">
        <f t="shared" si="5"/>
        <v>1.26</v>
      </c>
      <c r="K129" s="8" t="s">
        <v>788</v>
      </c>
    </row>
    <row r="130" spans="1:11" x14ac:dyDescent="0.2">
      <c r="A130" s="8"/>
      <c r="B130" s="8"/>
      <c r="C130" s="22"/>
    </row>
    <row r="131" spans="1:11" x14ac:dyDescent="0.2">
      <c r="A131" s="8"/>
      <c r="B131" s="8"/>
      <c r="C131" s="22"/>
    </row>
    <row r="132" spans="1:11" x14ac:dyDescent="0.2">
      <c r="A132" s="8"/>
      <c r="B132" s="8"/>
      <c r="C132" s="22"/>
    </row>
    <row r="135" spans="1:11" x14ac:dyDescent="0.2">
      <c r="A135" t="s">
        <v>796</v>
      </c>
      <c r="D135" s="17"/>
      <c r="E135" s="17"/>
    </row>
    <row r="136" spans="1:11" x14ac:dyDescent="0.2">
      <c r="A136" s="8" t="s">
        <v>410</v>
      </c>
      <c r="B136" s="8" t="s">
        <v>411</v>
      </c>
      <c r="C136" s="8" t="s">
        <v>412</v>
      </c>
      <c r="D136" s="8" t="s">
        <v>413</v>
      </c>
      <c r="E136" s="8" t="s">
        <v>414</v>
      </c>
      <c r="F136" s="8" t="s">
        <v>415</v>
      </c>
      <c r="G136" s="8" t="s">
        <v>416</v>
      </c>
      <c r="H136" s="8" t="s">
        <v>417</v>
      </c>
      <c r="I136" s="8" t="s">
        <v>418</v>
      </c>
      <c r="J136" s="8" t="s">
        <v>419</v>
      </c>
    </row>
    <row r="137" spans="1:11" x14ac:dyDescent="0.2">
      <c r="A137" s="8" t="s">
        <v>665</v>
      </c>
      <c r="B137" s="8" t="s">
        <v>797</v>
      </c>
      <c r="C137" s="8" t="s">
        <v>422</v>
      </c>
      <c r="D137" s="8" t="s">
        <v>423</v>
      </c>
      <c r="E137" s="8" t="s">
        <v>531</v>
      </c>
      <c r="F137" s="8" t="s">
        <v>420</v>
      </c>
      <c r="G137" s="8">
        <v>2</v>
      </c>
      <c r="H137" s="8">
        <v>0.10199999999999999</v>
      </c>
      <c r="I137" s="8" t="s">
        <v>421</v>
      </c>
      <c r="J137" s="8"/>
    </row>
    <row r="138" spans="1:11" x14ac:dyDescent="0.2">
      <c r="A138" s="8" t="s">
        <v>666</v>
      </c>
      <c r="B138" s="8" t="s">
        <v>797</v>
      </c>
      <c r="C138" s="8" t="s">
        <v>422</v>
      </c>
      <c r="D138" s="8" t="s">
        <v>423</v>
      </c>
      <c r="E138" s="8" t="s">
        <v>531</v>
      </c>
      <c r="F138" s="8" t="s">
        <v>420</v>
      </c>
      <c r="G138" s="8">
        <v>2</v>
      </c>
      <c r="H138" s="8">
        <v>0.10299999999999999</v>
      </c>
      <c r="I138" s="8" t="s">
        <v>421</v>
      </c>
      <c r="J138" s="8"/>
    </row>
    <row r="139" spans="1:11" x14ac:dyDescent="0.2">
      <c r="A139" s="8" t="s">
        <v>667</v>
      </c>
      <c r="B139" s="8" t="s">
        <v>797</v>
      </c>
      <c r="C139" s="8" t="s">
        <v>422</v>
      </c>
      <c r="D139" s="8" t="s">
        <v>423</v>
      </c>
      <c r="E139" s="8" t="s">
        <v>531</v>
      </c>
      <c r="F139" s="8" t="s">
        <v>420</v>
      </c>
      <c r="G139" s="8">
        <v>2</v>
      </c>
      <c r="H139" s="8">
        <v>0.14299999999999999</v>
      </c>
      <c r="I139" s="8" t="s">
        <v>421</v>
      </c>
      <c r="J139" s="8"/>
    </row>
    <row r="140" spans="1:11" x14ac:dyDescent="0.2">
      <c r="A140" s="8" t="s">
        <v>668</v>
      </c>
      <c r="B140" s="8" t="s">
        <v>797</v>
      </c>
      <c r="C140" s="8" t="s">
        <v>422</v>
      </c>
      <c r="D140" s="8" t="s">
        <v>423</v>
      </c>
      <c r="E140" s="8" t="s">
        <v>531</v>
      </c>
      <c r="F140" s="8" t="s">
        <v>420</v>
      </c>
      <c r="G140" s="8">
        <v>2</v>
      </c>
      <c r="H140" s="8">
        <v>0.11899999999999999</v>
      </c>
      <c r="I140" s="8" t="s">
        <v>421</v>
      </c>
      <c r="J140" s="8"/>
    </row>
    <row r="141" spans="1:11" x14ac:dyDescent="0.2">
      <c r="A141" s="8" t="s">
        <v>669</v>
      </c>
      <c r="B141" s="8" t="s">
        <v>797</v>
      </c>
      <c r="C141" s="8" t="s">
        <v>422</v>
      </c>
      <c r="D141" s="8" t="s">
        <v>423</v>
      </c>
      <c r="E141" s="8" t="s">
        <v>531</v>
      </c>
      <c r="F141" s="8" t="s">
        <v>420</v>
      </c>
      <c r="G141" s="8">
        <v>2</v>
      </c>
      <c r="H141" s="8">
        <v>0.13700000000000001</v>
      </c>
      <c r="I141" s="8" t="s">
        <v>421</v>
      </c>
      <c r="J141" s="8"/>
    </row>
    <row r="142" spans="1:11" x14ac:dyDescent="0.2">
      <c r="A142" s="8" t="s">
        <v>670</v>
      </c>
      <c r="B142" s="8" t="s">
        <v>797</v>
      </c>
      <c r="C142" s="8" t="s">
        <v>422</v>
      </c>
      <c r="D142" s="8" t="s">
        <v>423</v>
      </c>
      <c r="E142" s="8" t="s">
        <v>531</v>
      </c>
      <c r="F142" s="8" t="s">
        <v>420</v>
      </c>
      <c r="G142" s="8">
        <v>2</v>
      </c>
      <c r="H142" s="8">
        <v>0.123</v>
      </c>
      <c r="I142" s="8" t="s">
        <v>421</v>
      </c>
      <c r="J142" s="8"/>
    </row>
    <row r="143" spans="1:11" x14ac:dyDescent="0.2">
      <c r="A143" s="8" t="s">
        <v>671</v>
      </c>
      <c r="B143" s="8" t="s">
        <v>797</v>
      </c>
      <c r="C143" s="8" t="s">
        <v>422</v>
      </c>
      <c r="D143" s="8" t="s">
        <v>423</v>
      </c>
      <c r="E143" s="8" t="s">
        <v>531</v>
      </c>
      <c r="F143" s="8" t="s">
        <v>420</v>
      </c>
      <c r="G143" s="8">
        <v>2</v>
      </c>
      <c r="H143" s="8">
        <v>0.11600000000000001</v>
      </c>
      <c r="I143" s="8" t="s">
        <v>421</v>
      </c>
      <c r="J143" s="8"/>
    </row>
    <row r="144" spans="1:11" x14ac:dyDescent="0.2">
      <c r="A144" s="8" t="s">
        <v>672</v>
      </c>
      <c r="B144" s="8" t="s">
        <v>797</v>
      </c>
      <c r="C144" s="8" t="s">
        <v>422</v>
      </c>
      <c r="D144" s="8" t="s">
        <v>423</v>
      </c>
      <c r="E144" s="8" t="s">
        <v>531</v>
      </c>
      <c r="F144" s="8" t="s">
        <v>420</v>
      </c>
      <c r="G144" s="8">
        <v>2</v>
      </c>
      <c r="H144" s="8">
        <v>0.08</v>
      </c>
      <c r="I144" s="8" t="s">
        <v>421</v>
      </c>
      <c r="J144" s="8"/>
    </row>
    <row r="145" spans="1:10" x14ac:dyDescent="0.2">
      <c r="A145" s="8" t="s">
        <v>673</v>
      </c>
      <c r="B145" s="8" t="s">
        <v>797</v>
      </c>
      <c r="C145" s="8" t="s">
        <v>422</v>
      </c>
      <c r="D145" s="8" t="s">
        <v>423</v>
      </c>
      <c r="E145" s="8" t="s">
        <v>531</v>
      </c>
      <c r="F145" s="8" t="s">
        <v>420</v>
      </c>
      <c r="G145" s="8">
        <v>2</v>
      </c>
      <c r="H145" s="8">
        <v>0.14000000000000001</v>
      </c>
      <c r="I145" s="8" t="s">
        <v>421</v>
      </c>
      <c r="J145" s="8"/>
    </row>
    <row r="146" spans="1:10" x14ac:dyDescent="0.2">
      <c r="A146" s="8" t="s">
        <v>674</v>
      </c>
      <c r="B146" s="8" t="s">
        <v>797</v>
      </c>
      <c r="C146" s="8" t="s">
        <v>422</v>
      </c>
      <c r="D146" s="8" t="s">
        <v>423</v>
      </c>
      <c r="E146" s="8" t="s">
        <v>531</v>
      </c>
      <c r="F146" s="8" t="s">
        <v>420</v>
      </c>
      <c r="G146" s="8">
        <v>2</v>
      </c>
      <c r="H146" s="8">
        <v>0.127</v>
      </c>
      <c r="I146" s="8" t="s">
        <v>421</v>
      </c>
      <c r="J146" s="8"/>
    </row>
    <row r="147" spans="1:10" x14ac:dyDescent="0.2">
      <c r="A147" s="8" t="s">
        <v>675</v>
      </c>
      <c r="B147" s="8" t="s">
        <v>797</v>
      </c>
      <c r="C147" s="8" t="s">
        <v>422</v>
      </c>
      <c r="D147" s="8" t="s">
        <v>423</v>
      </c>
      <c r="E147" s="8" t="s">
        <v>531</v>
      </c>
      <c r="F147" s="8" t="s">
        <v>420</v>
      </c>
      <c r="G147" s="8">
        <v>2</v>
      </c>
      <c r="H147" s="8">
        <v>0.14099999999999999</v>
      </c>
      <c r="I147" s="8" t="s">
        <v>421</v>
      </c>
      <c r="J147" s="8"/>
    </row>
    <row r="148" spans="1:10" x14ac:dyDescent="0.2">
      <c r="A148" s="8" t="s">
        <v>676</v>
      </c>
      <c r="B148" s="8" t="s">
        <v>797</v>
      </c>
      <c r="C148" s="8" t="s">
        <v>422</v>
      </c>
      <c r="D148" s="8" t="s">
        <v>423</v>
      </c>
      <c r="E148" s="8" t="s">
        <v>531</v>
      </c>
      <c r="F148" s="8" t="s">
        <v>420</v>
      </c>
      <c r="G148" s="8">
        <v>2</v>
      </c>
      <c r="H148" s="8">
        <v>0.111</v>
      </c>
      <c r="I148" s="8" t="s">
        <v>421</v>
      </c>
      <c r="J148" s="8"/>
    </row>
    <row r="149" spans="1:10" x14ac:dyDescent="0.2">
      <c r="A149" s="8" t="s">
        <v>677</v>
      </c>
      <c r="B149" s="8" t="s">
        <v>797</v>
      </c>
      <c r="C149" s="8" t="s">
        <v>422</v>
      </c>
      <c r="D149" s="8" t="s">
        <v>423</v>
      </c>
      <c r="E149" s="8" t="s">
        <v>531</v>
      </c>
      <c r="F149" s="8" t="s">
        <v>420</v>
      </c>
      <c r="G149" s="8">
        <v>2</v>
      </c>
      <c r="H149" s="8">
        <v>0.151</v>
      </c>
      <c r="I149" s="8" t="s">
        <v>421</v>
      </c>
      <c r="J149" s="8"/>
    </row>
    <row r="150" spans="1:10" x14ac:dyDescent="0.2">
      <c r="A150" s="8" t="s">
        <v>678</v>
      </c>
      <c r="B150" s="8" t="s">
        <v>797</v>
      </c>
      <c r="C150" s="8" t="s">
        <v>422</v>
      </c>
      <c r="D150" s="8" t="s">
        <v>423</v>
      </c>
      <c r="E150" s="8" t="s">
        <v>531</v>
      </c>
      <c r="F150" s="8" t="s">
        <v>420</v>
      </c>
      <c r="G150" s="8">
        <v>2</v>
      </c>
      <c r="H150" s="8">
        <v>0.20200000000000001</v>
      </c>
      <c r="I150" s="8" t="s">
        <v>421</v>
      </c>
      <c r="J150" s="8"/>
    </row>
    <row r="151" spans="1:10" x14ac:dyDescent="0.2">
      <c r="A151" s="8" t="s">
        <v>679</v>
      </c>
      <c r="B151" s="8" t="s">
        <v>797</v>
      </c>
      <c r="C151" s="8" t="s">
        <v>422</v>
      </c>
      <c r="D151" s="8" t="s">
        <v>423</v>
      </c>
      <c r="E151" s="8" t="s">
        <v>531</v>
      </c>
      <c r="F151" s="8" t="s">
        <v>420</v>
      </c>
      <c r="G151" s="8">
        <v>2</v>
      </c>
      <c r="H151" s="8">
        <v>0.124</v>
      </c>
      <c r="I151" s="8" t="s">
        <v>421</v>
      </c>
      <c r="J151" s="8"/>
    </row>
    <row r="152" spans="1:10" x14ac:dyDescent="0.2">
      <c r="A152" s="8" t="s">
        <v>680</v>
      </c>
      <c r="B152" s="8" t="s">
        <v>797</v>
      </c>
      <c r="C152" s="8" t="s">
        <v>422</v>
      </c>
      <c r="D152" s="8" t="s">
        <v>423</v>
      </c>
      <c r="E152" s="8" t="s">
        <v>531</v>
      </c>
      <c r="F152" s="8" t="s">
        <v>420</v>
      </c>
      <c r="G152" s="8">
        <v>2</v>
      </c>
      <c r="H152" s="8">
        <v>0.14699999999999999</v>
      </c>
      <c r="I152" s="8" t="s">
        <v>421</v>
      </c>
      <c r="J152" s="8"/>
    </row>
    <row r="153" spans="1:10" x14ac:dyDescent="0.2">
      <c r="A153" s="8" t="s">
        <v>681</v>
      </c>
      <c r="B153" s="8" t="s">
        <v>797</v>
      </c>
      <c r="C153" s="8" t="s">
        <v>422</v>
      </c>
      <c r="D153" s="8" t="s">
        <v>423</v>
      </c>
      <c r="E153" s="8" t="s">
        <v>531</v>
      </c>
      <c r="F153" s="8" t="s">
        <v>420</v>
      </c>
      <c r="G153" s="8">
        <v>2</v>
      </c>
      <c r="H153" s="8">
        <v>0.13800000000000001</v>
      </c>
      <c r="I153" s="8" t="s">
        <v>421</v>
      </c>
      <c r="J153" s="8"/>
    </row>
    <row r="154" spans="1:10" x14ac:dyDescent="0.2">
      <c r="A154" s="8" t="s">
        <v>682</v>
      </c>
      <c r="B154" s="8" t="s">
        <v>797</v>
      </c>
      <c r="C154" s="8" t="s">
        <v>422</v>
      </c>
      <c r="D154" s="8" t="s">
        <v>423</v>
      </c>
      <c r="E154" s="8" t="s">
        <v>531</v>
      </c>
      <c r="F154" s="8" t="s">
        <v>420</v>
      </c>
      <c r="G154" s="8">
        <v>2</v>
      </c>
      <c r="H154" s="8">
        <v>0.183</v>
      </c>
      <c r="I154" s="8" t="s">
        <v>421</v>
      </c>
      <c r="J154" s="8"/>
    </row>
    <row r="155" spans="1:10" x14ac:dyDescent="0.2">
      <c r="A155" s="8" t="s">
        <v>683</v>
      </c>
      <c r="B155" s="8" t="s">
        <v>797</v>
      </c>
      <c r="C155" s="8" t="s">
        <v>422</v>
      </c>
      <c r="D155" s="8" t="s">
        <v>423</v>
      </c>
      <c r="E155" s="8" t="s">
        <v>531</v>
      </c>
      <c r="F155" s="8" t="s">
        <v>420</v>
      </c>
      <c r="G155" s="8">
        <v>2</v>
      </c>
      <c r="H155" s="8">
        <v>0.25700000000000001</v>
      </c>
      <c r="I155" s="8" t="s">
        <v>421</v>
      </c>
      <c r="J155" s="8"/>
    </row>
    <row r="156" spans="1:10" x14ac:dyDescent="0.2">
      <c r="A156" s="8" t="s">
        <v>684</v>
      </c>
      <c r="B156" s="8" t="s">
        <v>797</v>
      </c>
      <c r="C156" s="8" t="s">
        <v>422</v>
      </c>
      <c r="D156" s="8" t="s">
        <v>423</v>
      </c>
      <c r="E156" s="8" t="s">
        <v>531</v>
      </c>
      <c r="F156" s="8" t="s">
        <v>420</v>
      </c>
      <c r="G156" s="8">
        <v>2</v>
      </c>
      <c r="H156" s="8">
        <v>0.128</v>
      </c>
      <c r="I156" s="8" t="s">
        <v>421</v>
      </c>
      <c r="J156" s="8"/>
    </row>
    <row r="157" spans="1:10" x14ac:dyDescent="0.2">
      <c r="A157" s="8" t="s">
        <v>685</v>
      </c>
      <c r="B157" s="8" t="s">
        <v>797</v>
      </c>
      <c r="C157" s="8" t="s">
        <v>422</v>
      </c>
      <c r="D157" s="8" t="s">
        <v>423</v>
      </c>
      <c r="E157" s="8" t="s">
        <v>531</v>
      </c>
      <c r="F157" s="8" t="s">
        <v>420</v>
      </c>
      <c r="G157" s="8">
        <v>2</v>
      </c>
      <c r="H157" s="8">
        <v>6.13E-2</v>
      </c>
      <c r="I157" s="8" t="s">
        <v>421</v>
      </c>
      <c r="J157" s="8"/>
    </row>
    <row r="158" spans="1:10" x14ac:dyDescent="0.2">
      <c r="A158" s="8" t="s">
        <v>686</v>
      </c>
      <c r="B158" s="8" t="s">
        <v>797</v>
      </c>
      <c r="C158" s="8" t="s">
        <v>422</v>
      </c>
      <c r="D158" s="8" t="s">
        <v>423</v>
      </c>
      <c r="E158" s="8" t="s">
        <v>531</v>
      </c>
      <c r="F158" s="8" t="s">
        <v>420</v>
      </c>
      <c r="G158" s="8">
        <v>2</v>
      </c>
      <c r="H158" s="8">
        <v>0.114</v>
      </c>
      <c r="I158" s="8" t="s">
        <v>421</v>
      </c>
      <c r="J158" s="8"/>
    </row>
    <row r="159" spans="1:10" x14ac:dyDescent="0.2">
      <c r="A159" s="8" t="s">
        <v>687</v>
      </c>
      <c r="B159" s="8" t="s">
        <v>797</v>
      </c>
      <c r="C159" s="8" t="s">
        <v>422</v>
      </c>
      <c r="D159" s="8" t="s">
        <v>423</v>
      </c>
      <c r="E159" s="8" t="s">
        <v>531</v>
      </c>
      <c r="F159" s="8" t="s">
        <v>420</v>
      </c>
      <c r="G159" s="8">
        <v>2</v>
      </c>
      <c r="H159" s="8">
        <v>0.1</v>
      </c>
      <c r="I159" s="8" t="s">
        <v>421</v>
      </c>
      <c r="J159" s="8"/>
    </row>
    <row r="160" spans="1:10" x14ac:dyDescent="0.2">
      <c r="A160" s="8" t="s">
        <v>688</v>
      </c>
      <c r="B160" s="8" t="s">
        <v>797</v>
      </c>
      <c r="C160" s="8" t="s">
        <v>422</v>
      </c>
      <c r="D160" s="8" t="s">
        <v>423</v>
      </c>
      <c r="E160" s="8" t="s">
        <v>531</v>
      </c>
      <c r="F160" s="8" t="s">
        <v>420</v>
      </c>
      <c r="G160" s="8">
        <v>2</v>
      </c>
      <c r="H160" s="8">
        <v>0.154</v>
      </c>
      <c r="I160" s="8" t="s">
        <v>421</v>
      </c>
      <c r="J160" s="8"/>
    </row>
    <row r="161" spans="1:10" x14ac:dyDescent="0.2">
      <c r="A161" s="8" t="s">
        <v>689</v>
      </c>
      <c r="B161" s="8" t="s">
        <v>797</v>
      </c>
      <c r="C161" s="8" t="s">
        <v>422</v>
      </c>
      <c r="D161" s="8" t="s">
        <v>423</v>
      </c>
      <c r="E161" s="8" t="s">
        <v>531</v>
      </c>
      <c r="F161" s="8" t="s">
        <v>420</v>
      </c>
      <c r="G161" s="8">
        <v>2</v>
      </c>
      <c r="H161" s="8">
        <v>0.14199999999999999</v>
      </c>
      <c r="I161" s="8" t="s">
        <v>421</v>
      </c>
      <c r="J161" s="8"/>
    </row>
    <row r="162" spans="1:10" x14ac:dyDescent="0.2">
      <c r="A162" s="8" t="s">
        <v>690</v>
      </c>
      <c r="B162" s="8" t="s">
        <v>797</v>
      </c>
      <c r="C162" s="8" t="s">
        <v>422</v>
      </c>
      <c r="D162" s="8" t="s">
        <v>423</v>
      </c>
      <c r="E162" s="8" t="s">
        <v>531</v>
      </c>
      <c r="F162" s="8" t="s">
        <v>420</v>
      </c>
      <c r="G162" s="8">
        <v>2</v>
      </c>
      <c r="H162" s="8">
        <v>0.14399999999999999</v>
      </c>
      <c r="I162" s="8" t="s">
        <v>421</v>
      </c>
      <c r="J162" s="8"/>
    </row>
    <row r="163" spans="1:10" x14ac:dyDescent="0.2">
      <c r="A163" s="8" t="s">
        <v>691</v>
      </c>
      <c r="B163" s="8" t="s">
        <v>797</v>
      </c>
      <c r="C163" s="8" t="s">
        <v>422</v>
      </c>
      <c r="D163" s="8" t="s">
        <v>423</v>
      </c>
      <c r="E163" s="8" t="s">
        <v>531</v>
      </c>
      <c r="F163" s="8" t="s">
        <v>420</v>
      </c>
      <c r="G163" s="8">
        <v>2</v>
      </c>
      <c r="H163" s="8">
        <v>0.122</v>
      </c>
      <c r="I163" s="8" t="s">
        <v>421</v>
      </c>
      <c r="J163" s="8"/>
    </row>
    <row r="164" spans="1:10" x14ac:dyDescent="0.2">
      <c r="A164" s="8" t="s">
        <v>692</v>
      </c>
      <c r="B164" s="8" t="s">
        <v>797</v>
      </c>
      <c r="C164" s="8" t="s">
        <v>422</v>
      </c>
      <c r="D164" s="8" t="s">
        <v>423</v>
      </c>
      <c r="E164" s="8" t="s">
        <v>531</v>
      </c>
      <c r="F164" s="8" t="s">
        <v>420</v>
      </c>
      <c r="G164" s="8">
        <v>2</v>
      </c>
      <c r="H164" s="8">
        <v>0.151</v>
      </c>
      <c r="I164" s="8" t="s">
        <v>421</v>
      </c>
      <c r="J164" s="8"/>
    </row>
    <row r="165" spans="1:10" x14ac:dyDescent="0.2">
      <c r="A165" s="8" t="s">
        <v>693</v>
      </c>
      <c r="B165" s="8" t="s">
        <v>797</v>
      </c>
      <c r="C165" s="8" t="s">
        <v>422</v>
      </c>
      <c r="D165" s="8" t="s">
        <v>423</v>
      </c>
      <c r="E165" s="8" t="s">
        <v>531</v>
      </c>
      <c r="F165" s="8" t="s">
        <v>420</v>
      </c>
      <c r="G165" s="8">
        <v>2</v>
      </c>
      <c r="H165" s="8">
        <v>0.121</v>
      </c>
      <c r="I165" s="8" t="s">
        <v>421</v>
      </c>
      <c r="J165" s="8"/>
    </row>
    <row r="166" spans="1:10" x14ac:dyDescent="0.2">
      <c r="A166" s="8" t="s">
        <v>694</v>
      </c>
      <c r="B166" s="8" t="s">
        <v>797</v>
      </c>
      <c r="C166" s="8" t="s">
        <v>422</v>
      </c>
      <c r="D166" s="8" t="s">
        <v>423</v>
      </c>
      <c r="E166" s="8" t="s">
        <v>531</v>
      </c>
      <c r="F166" s="8" t="s">
        <v>420</v>
      </c>
      <c r="G166" s="8">
        <v>2</v>
      </c>
      <c r="H166" s="8">
        <v>0.221</v>
      </c>
      <c r="I166" s="8" t="s">
        <v>421</v>
      </c>
      <c r="J166" s="8"/>
    </row>
    <row r="167" spans="1:10" x14ac:dyDescent="0.2">
      <c r="A167" s="8" t="s">
        <v>695</v>
      </c>
      <c r="B167" s="8" t="s">
        <v>797</v>
      </c>
      <c r="C167" s="8" t="s">
        <v>422</v>
      </c>
      <c r="D167" s="8" t="s">
        <v>423</v>
      </c>
      <c r="E167" s="8" t="s">
        <v>531</v>
      </c>
      <c r="F167" s="8" t="s">
        <v>420</v>
      </c>
      <c r="G167" s="8">
        <v>2</v>
      </c>
      <c r="H167" s="8">
        <v>0.11700000000000001</v>
      </c>
      <c r="I167" s="8" t="s">
        <v>421</v>
      </c>
      <c r="J167" s="8"/>
    </row>
    <row r="168" spans="1:10" x14ac:dyDescent="0.2">
      <c r="A168" s="8" t="s">
        <v>696</v>
      </c>
      <c r="B168" s="8" t="s">
        <v>797</v>
      </c>
      <c r="C168" s="8" t="s">
        <v>422</v>
      </c>
      <c r="D168" s="8" t="s">
        <v>423</v>
      </c>
      <c r="E168" s="8" t="s">
        <v>531</v>
      </c>
      <c r="F168" s="8" t="s">
        <v>420</v>
      </c>
      <c r="G168" s="8">
        <v>2</v>
      </c>
      <c r="H168" s="8">
        <v>0.126</v>
      </c>
      <c r="I168" s="8" t="s">
        <v>421</v>
      </c>
      <c r="J168" s="8"/>
    </row>
    <row r="169" spans="1:10" x14ac:dyDescent="0.2">
      <c r="A169" s="8" t="s">
        <v>697</v>
      </c>
      <c r="B169" s="8" t="s">
        <v>797</v>
      </c>
      <c r="C169" s="8" t="s">
        <v>422</v>
      </c>
      <c r="D169" s="8" t="s">
        <v>423</v>
      </c>
      <c r="E169" s="8" t="s">
        <v>531</v>
      </c>
      <c r="F169" s="8" t="s">
        <v>420</v>
      </c>
      <c r="G169" s="8">
        <v>2</v>
      </c>
      <c r="H169" s="8">
        <v>0.186</v>
      </c>
      <c r="I169" s="8" t="s">
        <v>421</v>
      </c>
      <c r="J169" s="8"/>
    </row>
    <row r="170" spans="1:10" x14ac:dyDescent="0.2">
      <c r="A170" s="8" t="s">
        <v>698</v>
      </c>
      <c r="B170" s="8" t="s">
        <v>797</v>
      </c>
      <c r="C170" s="8" t="s">
        <v>422</v>
      </c>
      <c r="D170" s="8" t="s">
        <v>423</v>
      </c>
      <c r="E170" s="8" t="s">
        <v>531</v>
      </c>
      <c r="F170" s="8" t="s">
        <v>420</v>
      </c>
      <c r="G170" s="8">
        <v>2</v>
      </c>
      <c r="H170" s="8">
        <v>0.20499999999999999</v>
      </c>
      <c r="I170" s="8" t="s">
        <v>421</v>
      </c>
      <c r="J170" s="8"/>
    </row>
    <row r="171" spans="1:10" x14ac:dyDescent="0.2">
      <c r="A171" s="8" t="s">
        <v>699</v>
      </c>
      <c r="B171" s="8" t="s">
        <v>797</v>
      </c>
      <c r="C171" s="8" t="s">
        <v>422</v>
      </c>
      <c r="D171" s="8" t="s">
        <v>423</v>
      </c>
      <c r="E171" s="8" t="s">
        <v>531</v>
      </c>
      <c r="F171" s="8" t="s">
        <v>420</v>
      </c>
      <c r="G171" s="8">
        <v>2</v>
      </c>
      <c r="H171" s="8">
        <v>0.188</v>
      </c>
      <c r="I171" s="8" t="s">
        <v>421</v>
      </c>
      <c r="J171" s="8"/>
    </row>
    <row r="172" spans="1:10" x14ac:dyDescent="0.2">
      <c r="A172" s="8" t="s">
        <v>700</v>
      </c>
      <c r="B172" s="8" t="s">
        <v>797</v>
      </c>
      <c r="C172" s="8" t="s">
        <v>422</v>
      </c>
      <c r="D172" s="8" t="s">
        <v>423</v>
      </c>
      <c r="E172" s="8" t="s">
        <v>531</v>
      </c>
      <c r="F172" s="8" t="s">
        <v>420</v>
      </c>
      <c r="G172" s="8">
        <v>2</v>
      </c>
      <c r="H172" s="8">
        <v>0.20699999999999999</v>
      </c>
      <c r="I172" s="8" t="s">
        <v>421</v>
      </c>
      <c r="J172" s="8"/>
    </row>
    <row r="173" spans="1:10" x14ac:dyDescent="0.2">
      <c r="A173" s="8" t="s">
        <v>701</v>
      </c>
      <c r="B173" s="8" t="s">
        <v>797</v>
      </c>
      <c r="C173" s="8" t="s">
        <v>422</v>
      </c>
      <c r="D173" s="8" t="s">
        <v>423</v>
      </c>
      <c r="E173" s="8" t="s">
        <v>531</v>
      </c>
      <c r="F173" s="8" t="s">
        <v>420</v>
      </c>
      <c r="G173" s="8">
        <v>2</v>
      </c>
      <c r="H173" s="8">
        <v>0.22800000000000001</v>
      </c>
      <c r="I173" s="8" t="s">
        <v>421</v>
      </c>
      <c r="J173" s="8"/>
    </row>
    <row r="174" spans="1:10" x14ac:dyDescent="0.2">
      <c r="A174" s="8" t="s">
        <v>702</v>
      </c>
      <c r="B174" s="8" t="s">
        <v>797</v>
      </c>
      <c r="C174" s="8" t="s">
        <v>422</v>
      </c>
      <c r="D174" s="8" t="s">
        <v>423</v>
      </c>
      <c r="E174" s="8" t="s">
        <v>531</v>
      </c>
      <c r="F174" s="8" t="s">
        <v>420</v>
      </c>
      <c r="G174" s="8">
        <v>2</v>
      </c>
      <c r="H174" s="8">
        <v>0.28699999999999998</v>
      </c>
      <c r="I174" s="8" t="s">
        <v>421</v>
      </c>
      <c r="J174" s="8"/>
    </row>
    <row r="175" spans="1:10" x14ac:dyDescent="0.2">
      <c r="A175" s="8" t="s">
        <v>703</v>
      </c>
      <c r="B175" s="8" t="s">
        <v>797</v>
      </c>
      <c r="C175" s="8" t="s">
        <v>422</v>
      </c>
      <c r="D175" s="8" t="s">
        <v>423</v>
      </c>
      <c r="E175" s="8" t="s">
        <v>531</v>
      </c>
      <c r="F175" s="8" t="s">
        <v>420</v>
      </c>
      <c r="G175" s="8">
        <v>2</v>
      </c>
      <c r="H175" s="8">
        <v>0.25900000000000001</v>
      </c>
      <c r="I175" s="8" t="s">
        <v>421</v>
      </c>
      <c r="J175" s="8"/>
    </row>
    <row r="176" spans="1:10" x14ac:dyDescent="0.2">
      <c r="A176" s="8" t="s">
        <v>704</v>
      </c>
      <c r="B176" s="8" t="s">
        <v>797</v>
      </c>
      <c r="C176" s="8" t="s">
        <v>422</v>
      </c>
      <c r="D176" s="8" t="s">
        <v>423</v>
      </c>
      <c r="E176" s="8" t="s">
        <v>531</v>
      </c>
      <c r="F176" s="8" t="s">
        <v>420</v>
      </c>
      <c r="G176" s="8">
        <v>2</v>
      </c>
      <c r="H176" s="8">
        <v>0.29499999999999998</v>
      </c>
      <c r="I176" s="8" t="s">
        <v>421</v>
      </c>
      <c r="J176" s="8"/>
    </row>
    <row r="177" spans="1:10" x14ac:dyDescent="0.2">
      <c r="A177" s="8" t="s">
        <v>705</v>
      </c>
      <c r="B177" s="8" t="s">
        <v>797</v>
      </c>
      <c r="C177" s="8" t="s">
        <v>422</v>
      </c>
      <c r="D177" s="8" t="s">
        <v>423</v>
      </c>
      <c r="E177" s="8" t="s">
        <v>531</v>
      </c>
      <c r="F177" s="8" t="s">
        <v>420</v>
      </c>
      <c r="G177" s="8">
        <v>2</v>
      </c>
      <c r="H177" s="8">
        <v>0.27900000000000003</v>
      </c>
      <c r="I177" s="8" t="s">
        <v>421</v>
      </c>
      <c r="J177" s="8"/>
    </row>
    <row r="178" spans="1:10" x14ac:dyDescent="0.2">
      <c r="A178" s="8" t="s">
        <v>706</v>
      </c>
      <c r="B178" s="8" t="s">
        <v>797</v>
      </c>
      <c r="C178" s="8" t="s">
        <v>422</v>
      </c>
      <c r="D178" s="8" t="s">
        <v>423</v>
      </c>
      <c r="E178" s="8" t="s">
        <v>531</v>
      </c>
      <c r="F178" s="8" t="s">
        <v>420</v>
      </c>
      <c r="G178" s="8">
        <v>2</v>
      </c>
      <c r="H178" s="8">
        <v>0.34</v>
      </c>
      <c r="I178" s="8" t="s">
        <v>421</v>
      </c>
      <c r="J178" s="8"/>
    </row>
    <row r="179" spans="1:10" x14ac:dyDescent="0.2">
      <c r="A179" s="8" t="s">
        <v>707</v>
      </c>
      <c r="B179" s="8" t="s">
        <v>797</v>
      </c>
      <c r="C179" s="8" t="s">
        <v>422</v>
      </c>
      <c r="D179" s="8" t="s">
        <v>423</v>
      </c>
      <c r="E179" s="8" t="s">
        <v>531</v>
      </c>
      <c r="F179" s="8" t="s">
        <v>420</v>
      </c>
      <c r="G179" s="8">
        <v>2</v>
      </c>
      <c r="H179" s="8">
        <v>0.17799999999999999</v>
      </c>
      <c r="I179" s="8" t="s">
        <v>421</v>
      </c>
      <c r="J179" s="8"/>
    </row>
    <row r="180" spans="1:10" x14ac:dyDescent="0.2">
      <c r="A180" s="8" t="s">
        <v>708</v>
      </c>
      <c r="B180" s="8" t="s">
        <v>797</v>
      </c>
      <c r="C180" s="8" t="s">
        <v>422</v>
      </c>
      <c r="D180" s="8" t="s">
        <v>423</v>
      </c>
      <c r="E180" s="8" t="s">
        <v>531</v>
      </c>
      <c r="F180" s="8" t="s">
        <v>420</v>
      </c>
      <c r="G180" s="8">
        <v>2</v>
      </c>
      <c r="H180" s="8">
        <v>0.121</v>
      </c>
      <c r="I180" s="8" t="s">
        <v>421</v>
      </c>
      <c r="J180" s="8"/>
    </row>
    <row r="181" spans="1:10" x14ac:dyDescent="0.2">
      <c r="A181" s="8" t="s">
        <v>709</v>
      </c>
      <c r="B181" s="8" t="s">
        <v>797</v>
      </c>
      <c r="C181" s="8" t="s">
        <v>422</v>
      </c>
      <c r="D181" s="8" t="s">
        <v>423</v>
      </c>
      <c r="E181" s="8" t="s">
        <v>531</v>
      </c>
      <c r="F181" s="8" t="s">
        <v>420</v>
      </c>
      <c r="G181" s="8">
        <v>2</v>
      </c>
      <c r="H181" s="8">
        <v>0.124</v>
      </c>
      <c r="I181" s="8" t="s">
        <v>421</v>
      </c>
      <c r="J181" s="8"/>
    </row>
    <row r="182" spans="1:10" x14ac:dyDescent="0.2">
      <c r="A182" s="8" t="s">
        <v>710</v>
      </c>
      <c r="B182" s="8" t="s">
        <v>797</v>
      </c>
      <c r="C182" s="8" t="s">
        <v>422</v>
      </c>
      <c r="D182" s="8" t="s">
        <v>423</v>
      </c>
      <c r="E182" s="8" t="s">
        <v>531</v>
      </c>
      <c r="F182" s="8" t="s">
        <v>420</v>
      </c>
      <c r="G182" s="8">
        <v>2</v>
      </c>
      <c r="H182" s="8">
        <v>0.13900000000000001</v>
      </c>
      <c r="I182" s="8" t="s">
        <v>421</v>
      </c>
      <c r="J182" s="8"/>
    </row>
    <row r="183" spans="1:10" x14ac:dyDescent="0.2">
      <c r="A183" s="8" t="s">
        <v>711</v>
      </c>
      <c r="B183" s="8" t="s">
        <v>797</v>
      </c>
      <c r="C183" s="8" t="s">
        <v>422</v>
      </c>
      <c r="D183" s="8" t="s">
        <v>423</v>
      </c>
      <c r="E183" s="8" t="s">
        <v>531</v>
      </c>
      <c r="F183" s="8" t="s">
        <v>420</v>
      </c>
      <c r="G183" s="8">
        <v>2</v>
      </c>
      <c r="H183" s="8">
        <v>0.16800000000000001</v>
      </c>
      <c r="I183" s="8" t="s">
        <v>421</v>
      </c>
      <c r="J183" s="8"/>
    </row>
    <row r="184" spans="1:10" x14ac:dyDescent="0.2">
      <c r="A184" s="8" t="s">
        <v>712</v>
      </c>
      <c r="B184" s="8" t="s">
        <v>797</v>
      </c>
      <c r="C184" s="8" t="s">
        <v>422</v>
      </c>
      <c r="D184" s="8" t="s">
        <v>423</v>
      </c>
      <c r="E184" s="8" t="s">
        <v>531</v>
      </c>
      <c r="F184" s="8" t="s">
        <v>420</v>
      </c>
      <c r="G184" s="8">
        <v>2</v>
      </c>
      <c r="H184" s="8">
        <v>0.156</v>
      </c>
      <c r="I184" s="8" t="s">
        <v>421</v>
      </c>
      <c r="J184" s="8"/>
    </row>
    <row r="185" spans="1:10" x14ac:dyDescent="0.2">
      <c r="A185" s="8" t="s">
        <v>713</v>
      </c>
      <c r="B185" s="8" t="s">
        <v>797</v>
      </c>
      <c r="C185" s="8" t="s">
        <v>422</v>
      </c>
      <c r="D185" s="8" t="s">
        <v>423</v>
      </c>
      <c r="E185" s="8" t="s">
        <v>531</v>
      </c>
      <c r="F185" s="8" t="s">
        <v>420</v>
      </c>
      <c r="G185" s="8">
        <v>2</v>
      </c>
      <c r="H185" s="8">
        <v>0.14499999999999999</v>
      </c>
      <c r="I185" s="8" t="s">
        <v>421</v>
      </c>
      <c r="J185" s="8"/>
    </row>
    <row r="186" spans="1:10" x14ac:dyDescent="0.2">
      <c r="A186" s="8" t="s">
        <v>714</v>
      </c>
      <c r="B186" s="8" t="s">
        <v>797</v>
      </c>
      <c r="C186" s="8" t="s">
        <v>422</v>
      </c>
      <c r="D186" s="8" t="s">
        <v>423</v>
      </c>
      <c r="E186" s="8" t="s">
        <v>531</v>
      </c>
      <c r="F186" s="8" t="s">
        <v>420</v>
      </c>
      <c r="G186" s="8">
        <v>2</v>
      </c>
      <c r="H186" s="8">
        <v>0.157</v>
      </c>
      <c r="I186" s="8" t="s">
        <v>421</v>
      </c>
      <c r="J186" s="8"/>
    </row>
    <row r="187" spans="1:10" x14ac:dyDescent="0.2">
      <c r="A187" s="8" t="s">
        <v>715</v>
      </c>
      <c r="B187" s="8" t="s">
        <v>797</v>
      </c>
      <c r="C187" s="8" t="s">
        <v>422</v>
      </c>
      <c r="D187" s="8" t="s">
        <v>423</v>
      </c>
      <c r="E187" s="8" t="s">
        <v>531</v>
      </c>
      <c r="F187" s="8" t="s">
        <v>420</v>
      </c>
      <c r="G187" s="8">
        <v>2</v>
      </c>
      <c r="H187" s="8">
        <v>0.10100000000000001</v>
      </c>
      <c r="I187" s="8" t="s">
        <v>421</v>
      </c>
      <c r="J187" s="8"/>
    </row>
    <row r="188" spans="1:10" x14ac:dyDescent="0.2">
      <c r="A188" s="8" t="s">
        <v>716</v>
      </c>
      <c r="B188" s="8" t="s">
        <v>797</v>
      </c>
      <c r="C188" s="8" t="s">
        <v>422</v>
      </c>
      <c r="D188" s="8" t="s">
        <v>423</v>
      </c>
      <c r="E188" s="8" t="s">
        <v>531</v>
      </c>
      <c r="F188" s="8" t="s">
        <v>420</v>
      </c>
      <c r="G188" s="8">
        <v>2</v>
      </c>
      <c r="H188" s="8">
        <v>0.14899999999999999</v>
      </c>
      <c r="I188" s="8" t="s">
        <v>421</v>
      </c>
      <c r="J188" s="8"/>
    </row>
    <row r="189" spans="1:10" x14ac:dyDescent="0.2">
      <c r="A189" s="8" t="s">
        <v>717</v>
      </c>
      <c r="B189" s="8" t="s">
        <v>797</v>
      </c>
      <c r="C189" s="8" t="s">
        <v>422</v>
      </c>
      <c r="D189" s="8" t="s">
        <v>423</v>
      </c>
      <c r="E189" s="8" t="s">
        <v>531</v>
      </c>
      <c r="F189" s="8" t="s">
        <v>420</v>
      </c>
      <c r="G189" s="8">
        <v>2</v>
      </c>
      <c r="H189" s="8">
        <v>0.191</v>
      </c>
      <c r="I189" s="8" t="s">
        <v>421</v>
      </c>
      <c r="J189" s="8"/>
    </row>
    <row r="190" spans="1:10" x14ac:dyDescent="0.2">
      <c r="A190" s="8" t="s">
        <v>718</v>
      </c>
      <c r="B190" s="8" t="s">
        <v>797</v>
      </c>
      <c r="C190" s="8" t="s">
        <v>422</v>
      </c>
      <c r="D190" s="8" t="s">
        <v>423</v>
      </c>
      <c r="E190" s="8" t="s">
        <v>531</v>
      </c>
      <c r="F190" s="8" t="s">
        <v>420</v>
      </c>
      <c r="G190" s="8">
        <v>2</v>
      </c>
      <c r="H190" s="8">
        <v>0.14499999999999999</v>
      </c>
      <c r="I190" s="8" t="s">
        <v>421</v>
      </c>
      <c r="J190" s="8"/>
    </row>
    <row r="191" spans="1:10" x14ac:dyDescent="0.2">
      <c r="A191" s="8" t="s">
        <v>719</v>
      </c>
      <c r="B191" s="8" t="s">
        <v>797</v>
      </c>
      <c r="C191" s="8" t="s">
        <v>422</v>
      </c>
      <c r="D191" s="8" t="s">
        <v>423</v>
      </c>
      <c r="E191" s="8" t="s">
        <v>531</v>
      </c>
      <c r="F191" s="8" t="s">
        <v>420</v>
      </c>
      <c r="G191" s="8">
        <v>2</v>
      </c>
      <c r="H191" s="8">
        <v>0.20100000000000001</v>
      </c>
      <c r="I191" s="8" t="s">
        <v>421</v>
      </c>
      <c r="J191" s="8"/>
    </row>
    <row r="192" spans="1:10" x14ac:dyDescent="0.2">
      <c r="A192" s="8" t="s">
        <v>720</v>
      </c>
      <c r="B192" s="8" t="s">
        <v>797</v>
      </c>
      <c r="C192" s="8" t="s">
        <v>422</v>
      </c>
      <c r="D192" s="8" t="s">
        <v>423</v>
      </c>
      <c r="E192" s="8" t="s">
        <v>531</v>
      </c>
      <c r="F192" s="8" t="s">
        <v>420</v>
      </c>
      <c r="G192" s="8">
        <v>2</v>
      </c>
      <c r="H192" s="8">
        <v>0.26200000000000001</v>
      </c>
      <c r="I192" s="8" t="s">
        <v>421</v>
      </c>
      <c r="J192" s="8"/>
    </row>
    <row r="193" spans="1:10" x14ac:dyDescent="0.2">
      <c r="A193" s="8" t="s">
        <v>721</v>
      </c>
      <c r="B193" s="8" t="s">
        <v>797</v>
      </c>
      <c r="C193" s="8" t="s">
        <v>422</v>
      </c>
      <c r="D193" s="8" t="s">
        <v>423</v>
      </c>
      <c r="E193" s="8" t="s">
        <v>531</v>
      </c>
      <c r="F193" s="8" t="s">
        <v>420</v>
      </c>
      <c r="G193" s="8">
        <v>2</v>
      </c>
      <c r="H193" s="8">
        <v>0.153</v>
      </c>
      <c r="I193" s="8" t="s">
        <v>421</v>
      </c>
      <c r="J193" s="8"/>
    </row>
    <row r="194" spans="1:10" x14ac:dyDescent="0.2">
      <c r="A194" s="8" t="s">
        <v>722</v>
      </c>
      <c r="B194" s="8" t="s">
        <v>797</v>
      </c>
      <c r="C194" s="8" t="s">
        <v>422</v>
      </c>
      <c r="D194" s="8" t="s">
        <v>423</v>
      </c>
      <c r="E194" s="8" t="s">
        <v>531</v>
      </c>
      <c r="F194" s="8" t="s">
        <v>420</v>
      </c>
      <c r="G194" s="8">
        <v>2</v>
      </c>
      <c r="H194" s="8">
        <v>0.152</v>
      </c>
      <c r="I194" s="8" t="s">
        <v>421</v>
      </c>
      <c r="J194" s="8"/>
    </row>
    <row r="195" spans="1:10" x14ac:dyDescent="0.2">
      <c r="A195" s="8" t="s">
        <v>723</v>
      </c>
      <c r="B195" s="8" t="s">
        <v>797</v>
      </c>
      <c r="C195" s="8" t="s">
        <v>422</v>
      </c>
      <c r="D195" s="8" t="s">
        <v>423</v>
      </c>
      <c r="E195" s="8" t="s">
        <v>531</v>
      </c>
      <c r="F195" s="8" t="s">
        <v>420</v>
      </c>
      <c r="G195" s="8">
        <v>2</v>
      </c>
      <c r="H195" s="8">
        <v>0.159</v>
      </c>
      <c r="I195" s="8" t="s">
        <v>421</v>
      </c>
      <c r="J195" s="8"/>
    </row>
    <row r="196" spans="1:10" x14ac:dyDescent="0.2">
      <c r="A196" s="8" t="s">
        <v>724</v>
      </c>
      <c r="B196" s="8" t="s">
        <v>797</v>
      </c>
      <c r="C196" s="8" t="s">
        <v>422</v>
      </c>
      <c r="D196" s="8" t="s">
        <v>423</v>
      </c>
      <c r="E196" s="8" t="s">
        <v>531</v>
      </c>
      <c r="F196" s="8" t="s">
        <v>420</v>
      </c>
      <c r="G196" s="8">
        <v>2</v>
      </c>
      <c r="H196" s="8">
        <v>0.17100000000000001</v>
      </c>
      <c r="I196" s="8" t="s">
        <v>421</v>
      </c>
      <c r="J196" s="8"/>
    </row>
    <row r="197" spans="1:10" x14ac:dyDescent="0.2">
      <c r="A197" s="8" t="s">
        <v>725</v>
      </c>
      <c r="B197" s="8" t="s">
        <v>797</v>
      </c>
      <c r="C197" s="8" t="s">
        <v>422</v>
      </c>
      <c r="D197" s="8" t="s">
        <v>423</v>
      </c>
      <c r="E197" s="8" t="s">
        <v>531</v>
      </c>
      <c r="F197" s="8" t="s">
        <v>420</v>
      </c>
      <c r="G197" s="8">
        <v>2</v>
      </c>
      <c r="H197" s="8">
        <v>0.16700000000000001</v>
      </c>
      <c r="I197" s="8" t="s">
        <v>421</v>
      </c>
      <c r="J197" s="8"/>
    </row>
    <row r="198" spans="1:10" x14ac:dyDescent="0.2">
      <c r="A198" s="8" t="s">
        <v>726</v>
      </c>
      <c r="B198" s="8" t="s">
        <v>797</v>
      </c>
      <c r="C198" s="8" t="s">
        <v>422</v>
      </c>
      <c r="D198" s="8" t="s">
        <v>423</v>
      </c>
      <c r="E198" s="8" t="s">
        <v>531</v>
      </c>
      <c r="F198" s="8" t="s">
        <v>420</v>
      </c>
      <c r="G198" s="8">
        <v>2</v>
      </c>
      <c r="H198" s="8">
        <v>0.20699999999999999</v>
      </c>
      <c r="I198" s="8" t="s">
        <v>421</v>
      </c>
      <c r="J198" s="8"/>
    </row>
    <row r="199" spans="1:10" x14ac:dyDescent="0.2">
      <c r="A199" s="8" t="s">
        <v>727</v>
      </c>
      <c r="B199" s="8" t="s">
        <v>797</v>
      </c>
      <c r="C199" s="8" t="s">
        <v>422</v>
      </c>
      <c r="D199" s="8" t="s">
        <v>423</v>
      </c>
      <c r="E199" s="8" t="s">
        <v>531</v>
      </c>
      <c r="F199" s="8" t="s">
        <v>420</v>
      </c>
      <c r="G199" s="8">
        <v>2</v>
      </c>
      <c r="H199" s="8">
        <v>0.2</v>
      </c>
      <c r="I199" s="8" t="s">
        <v>421</v>
      </c>
      <c r="J199" s="8"/>
    </row>
    <row r="200" spans="1:10" x14ac:dyDescent="0.2">
      <c r="A200" s="8" t="s">
        <v>504</v>
      </c>
      <c r="B200" s="8" t="s">
        <v>797</v>
      </c>
      <c r="C200" s="8" t="s">
        <v>422</v>
      </c>
      <c r="D200" s="8" t="s">
        <v>423</v>
      </c>
      <c r="E200" s="8" t="s">
        <v>531</v>
      </c>
      <c r="F200" s="8" t="s">
        <v>420</v>
      </c>
      <c r="G200" s="8">
        <v>2</v>
      </c>
      <c r="H200" s="8">
        <v>8.3299999999999999E-2</v>
      </c>
      <c r="I200" s="8" t="s">
        <v>421</v>
      </c>
      <c r="J200" s="8"/>
    </row>
    <row r="201" spans="1:10" x14ac:dyDescent="0.2">
      <c r="A201" s="8" t="s">
        <v>505</v>
      </c>
      <c r="B201" s="8" t="s">
        <v>797</v>
      </c>
      <c r="C201" s="8" t="s">
        <v>422</v>
      </c>
      <c r="D201" s="8" t="s">
        <v>423</v>
      </c>
      <c r="E201" s="8" t="s">
        <v>531</v>
      </c>
      <c r="F201" s="8" t="s">
        <v>420</v>
      </c>
      <c r="G201" s="8">
        <v>2</v>
      </c>
      <c r="H201" s="8">
        <v>9.1300000000000006E-2</v>
      </c>
      <c r="I201" s="8" t="s">
        <v>421</v>
      </c>
      <c r="J201" s="8"/>
    </row>
    <row r="202" spans="1:10" x14ac:dyDescent="0.2">
      <c r="A202" s="8" t="s">
        <v>728</v>
      </c>
      <c r="B202" s="8" t="s">
        <v>797</v>
      </c>
      <c r="C202" s="8" t="s">
        <v>422</v>
      </c>
      <c r="D202" s="8" t="s">
        <v>423</v>
      </c>
      <c r="E202" s="8" t="s">
        <v>531</v>
      </c>
      <c r="F202" s="8" t="s">
        <v>420</v>
      </c>
      <c r="G202" s="8">
        <v>2</v>
      </c>
      <c r="H202" s="8">
        <v>0.153</v>
      </c>
      <c r="I202" s="8" t="s">
        <v>421</v>
      </c>
      <c r="J202" s="8"/>
    </row>
    <row r="203" spans="1:10" x14ac:dyDescent="0.2">
      <c r="A203" s="8" t="s">
        <v>729</v>
      </c>
      <c r="B203" s="8" t="s">
        <v>797</v>
      </c>
      <c r="C203" s="8" t="s">
        <v>422</v>
      </c>
      <c r="D203" s="8" t="s">
        <v>423</v>
      </c>
      <c r="E203" s="8" t="s">
        <v>531</v>
      </c>
      <c r="F203" s="8" t="s">
        <v>420</v>
      </c>
      <c r="G203" s="8">
        <v>2</v>
      </c>
      <c r="H203" s="8">
        <v>0.158</v>
      </c>
      <c r="I203" s="8" t="s">
        <v>421</v>
      </c>
      <c r="J203" s="8"/>
    </row>
    <row r="204" spans="1:10" x14ac:dyDescent="0.2">
      <c r="A204" s="8" t="s">
        <v>730</v>
      </c>
      <c r="B204" s="8" t="s">
        <v>797</v>
      </c>
      <c r="C204" s="8" t="s">
        <v>422</v>
      </c>
      <c r="D204" s="8" t="s">
        <v>423</v>
      </c>
      <c r="E204" s="8" t="s">
        <v>531</v>
      </c>
      <c r="F204" s="8" t="s">
        <v>420</v>
      </c>
      <c r="G204" s="8">
        <v>2</v>
      </c>
      <c r="H204" s="8">
        <v>6.6000000000000003E-2</v>
      </c>
      <c r="I204" s="8" t="s">
        <v>421</v>
      </c>
      <c r="J204" s="8"/>
    </row>
    <row r="205" spans="1:10" x14ac:dyDescent="0.2">
      <c r="A205" s="8" t="s">
        <v>731</v>
      </c>
      <c r="B205" s="8" t="s">
        <v>797</v>
      </c>
      <c r="C205" s="8" t="s">
        <v>422</v>
      </c>
      <c r="D205" s="8" t="s">
        <v>423</v>
      </c>
      <c r="E205" s="8" t="s">
        <v>531</v>
      </c>
      <c r="F205" s="8" t="s">
        <v>420</v>
      </c>
      <c r="G205" s="8">
        <v>2</v>
      </c>
      <c r="H205" s="8">
        <v>0.123</v>
      </c>
      <c r="I205" s="8" t="s">
        <v>421</v>
      </c>
      <c r="J205" s="8"/>
    </row>
    <row r="206" spans="1:10" x14ac:dyDescent="0.2">
      <c r="A206" s="8" t="s">
        <v>732</v>
      </c>
      <c r="B206" s="8" t="s">
        <v>797</v>
      </c>
      <c r="C206" s="8" t="s">
        <v>422</v>
      </c>
      <c r="D206" s="8" t="s">
        <v>423</v>
      </c>
      <c r="E206" s="8" t="s">
        <v>531</v>
      </c>
      <c r="F206" s="8" t="s">
        <v>420</v>
      </c>
      <c r="G206" s="8">
        <v>2</v>
      </c>
      <c r="H206" s="8">
        <v>0.152</v>
      </c>
      <c r="I206" s="8" t="s">
        <v>421</v>
      </c>
      <c r="J206" s="8"/>
    </row>
    <row r="207" spans="1:10" x14ac:dyDescent="0.2">
      <c r="A207" s="8" t="s">
        <v>733</v>
      </c>
      <c r="B207" s="8" t="s">
        <v>797</v>
      </c>
      <c r="C207" s="8" t="s">
        <v>422</v>
      </c>
      <c r="D207" s="8" t="s">
        <v>423</v>
      </c>
      <c r="E207" s="8" t="s">
        <v>531</v>
      </c>
      <c r="F207" s="8" t="s">
        <v>420</v>
      </c>
      <c r="G207" s="8">
        <v>2</v>
      </c>
      <c r="H207" s="8">
        <v>0.12</v>
      </c>
      <c r="I207" s="8" t="s">
        <v>421</v>
      </c>
      <c r="J207" s="8"/>
    </row>
    <row r="208" spans="1:10" x14ac:dyDescent="0.2">
      <c r="A208" s="8" t="s">
        <v>734</v>
      </c>
      <c r="B208" s="8" t="s">
        <v>797</v>
      </c>
      <c r="C208" s="8" t="s">
        <v>422</v>
      </c>
      <c r="D208" s="8" t="s">
        <v>423</v>
      </c>
      <c r="E208" s="8" t="s">
        <v>531</v>
      </c>
      <c r="F208" s="8" t="s">
        <v>420</v>
      </c>
      <c r="G208" s="8">
        <v>2</v>
      </c>
      <c r="H208" s="8">
        <v>0.14099999999999999</v>
      </c>
      <c r="I208" s="8" t="s">
        <v>421</v>
      </c>
      <c r="J208" s="8"/>
    </row>
    <row r="209" spans="1:10" x14ac:dyDescent="0.2">
      <c r="A209" s="8" t="s">
        <v>735</v>
      </c>
      <c r="B209" s="8" t="s">
        <v>797</v>
      </c>
      <c r="C209" s="8" t="s">
        <v>422</v>
      </c>
      <c r="D209" s="8" t="s">
        <v>423</v>
      </c>
      <c r="E209" s="8" t="s">
        <v>531</v>
      </c>
      <c r="F209" s="8" t="s">
        <v>420</v>
      </c>
      <c r="G209" s="8">
        <v>2</v>
      </c>
      <c r="H209" s="8">
        <v>0.114</v>
      </c>
      <c r="I209" s="8" t="s">
        <v>421</v>
      </c>
      <c r="J209" s="8"/>
    </row>
    <row r="210" spans="1:10" x14ac:dyDescent="0.2">
      <c r="A210" s="8" t="s">
        <v>736</v>
      </c>
      <c r="B210" s="8" t="s">
        <v>797</v>
      </c>
      <c r="C210" s="8" t="s">
        <v>422</v>
      </c>
      <c r="D210" s="8" t="s">
        <v>423</v>
      </c>
      <c r="E210" s="8" t="s">
        <v>531</v>
      </c>
      <c r="F210" s="8" t="s">
        <v>420</v>
      </c>
      <c r="G210" s="8">
        <v>2</v>
      </c>
      <c r="H210" s="8">
        <v>0.13200000000000001</v>
      </c>
      <c r="I210" s="8" t="s">
        <v>421</v>
      </c>
      <c r="J210" s="8"/>
    </row>
    <row r="211" spans="1:10" x14ac:dyDescent="0.2">
      <c r="A211" s="8" t="s">
        <v>737</v>
      </c>
      <c r="B211" s="8" t="s">
        <v>797</v>
      </c>
      <c r="C211" s="8" t="s">
        <v>422</v>
      </c>
      <c r="D211" s="8" t="s">
        <v>423</v>
      </c>
      <c r="E211" s="8" t="s">
        <v>531</v>
      </c>
      <c r="F211" s="8" t="s">
        <v>420</v>
      </c>
      <c r="G211" s="8">
        <v>2</v>
      </c>
      <c r="H211" s="8">
        <v>0.14499999999999999</v>
      </c>
      <c r="I211" s="8" t="s">
        <v>421</v>
      </c>
      <c r="J211" s="8"/>
    </row>
    <row r="212" spans="1:10" x14ac:dyDescent="0.2">
      <c r="A212" s="8" t="s">
        <v>738</v>
      </c>
      <c r="B212" s="8" t="s">
        <v>797</v>
      </c>
      <c r="C212" s="8" t="s">
        <v>422</v>
      </c>
      <c r="D212" s="8" t="s">
        <v>423</v>
      </c>
      <c r="E212" s="8" t="s">
        <v>531</v>
      </c>
      <c r="F212" s="8" t="s">
        <v>420</v>
      </c>
      <c r="G212" s="8">
        <v>2</v>
      </c>
      <c r="H212" s="8">
        <v>0.153</v>
      </c>
      <c r="I212" s="8" t="s">
        <v>421</v>
      </c>
      <c r="J212" s="8"/>
    </row>
    <row r="213" spans="1:10" x14ac:dyDescent="0.2">
      <c r="A213" s="8" t="s">
        <v>739</v>
      </c>
      <c r="B213" s="8" t="s">
        <v>797</v>
      </c>
      <c r="C213" s="8" t="s">
        <v>422</v>
      </c>
      <c r="D213" s="8" t="s">
        <v>423</v>
      </c>
      <c r="E213" s="8" t="s">
        <v>531</v>
      </c>
      <c r="F213" s="8" t="s">
        <v>420</v>
      </c>
      <c r="G213" s="8">
        <v>2</v>
      </c>
      <c r="H213" s="8">
        <v>0.16700000000000001</v>
      </c>
      <c r="I213" s="8" t="s">
        <v>421</v>
      </c>
      <c r="J213" s="8"/>
    </row>
    <row r="214" spans="1:10" x14ac:dyDescent="0.2">
      <c r="A214" s="8" t="s">
        <v>740</v>
      </c>
      <c r="B214" s="8" t="s">
        <v>797</v>
      </c>
      <c r="C214" s="8" t="s">
        <v>422</v>
      </c>
      <c r="D214" s="8" t="s">
        <v>423</v>
      </c>
      <c r="E214" s="8" t="s">
        <v>531</v>
      </c>
      <c r="F214" s="8" t="s">
        <v>420</v>
      </c>
      <c r="G214" s="8">
        <v>2</v>
      </c>
      <c r="H214" s="8">
        <v>0.221</v>
      </c>
      <c r="I214" s="8" t="s">
        <v>421</v>
      </c>
      <c r="J214" s="8"/>
    </row>
    <row r="215" spans="1:10" x14ac:dyDescent="0.2">
      <c r="A215" s="8" t="s">
        <v>741</v>
      </c>
      <c r="B215" s="8" t="s">
        <v>797</v>
      </c>
      <c r="C215" s="8" t="s">
        <v>422</v>
      </c>
      <c r="D215" s="8" t="s">
        <v>423</v>
      </c>
      <c r="E215" s="8" t="s">
        <v>531</v>
      </c>
      <c r="F215" s="8" t="s">
        <v>420</v>
      </c>
      <c r="G215" s="8">
        <v>2</v>
      </c>
      <c r="H215" s="8">
        <v>0.20799999999999999</v>
      </c>
      <c r="I215" s="8" t="s">
        <v>421</v>
      </c>
      <c r="J215" s="8"/>
    </row>
    <row r="216" spans="1:10" x14ac:dyDescent="0.2">
      <c r="A216" s="8" t="s">
        <v>742</v>
      </c>
      <c r="B216" s="8" t="s">
        <v>797</v>
      </c>
      <c r="C216" s="8" t="s">
        <v>422</v>
      </c>
      <c r="D216" s="8" t="s">
        <v>423</v>
      </c>
      <c r="E216" s="8" t="s">
        <v>531</v>
      </c>
      <c r="F216" s="8" t="s">
        <v>420</v>
      </c>
      <c r="G216" s="8">
        <v>2</v>
      </c>
      <c r="H216" s="8">
        <v>0.13900000000000001</v>
      </c>
      <c r="I216" s="8" t="s">
        <v>421</v>
      </c>
      <c r="J216" s="8"/>
    </row>
    <row r="217" spans="1:10" x14ac:dyDescent="0.2">
      <c r="A217" s="8" t="s">
        <v>743</v>
      </c>
      <c r="B217" s="8" t="s">
        <v>797</v>
      </c>
      <c r="C217" s="8" t="s">
        <v>422</v>
      </c>
      <c r="D217" s="8" t="s">
        <v>423</v>
      </c>
      <c r="E217" s="8" t="s">
        <v>531</v>
      </c>
      <c r="F217" s="8" t="s">
        <v>420</v>
      </c>
      <c r="G217" s="8">
        <v>2</v>
      </c>
      <c r="H217" s="8">
        <v>0.154</v>
      </c>
      <c r="I217" s="8" t="s">
        <v>421</v>
      </c>
      <c r="J217" s="8"/>
    </row>
    <row r="218" spans="1:10" x14ac:dyDescent="0.2">
      <c r="A218" s="8" t="s">
        <v>744</v>
      </c>
      <c r="B218" s="8" t="s">
        <v>797</v>
      </c>
      <c r="C218" s="8" t="s">
        <v>422</v>
      </c>
      <c r="D218" s="8" t="s">
        <v>423</v>
      </c>
      <c r="E218" s="8" t="s">
        <v>531</v>
      </c>
      <c r="F218" s="8" t="s">
        <v>420</v>
      </c>
      <c r="G218" s="8">
        <v>2</v>
      </c>
      <c r="H218" s="8">
        <v>0.18099999999999999</v>
      </c>
      <c r="I218" s="8" t="s">
        <v>421</v>
      </c>
      <c r="J218" s="8"/>
    </row>
    <row r="219" spans="1:10" x14ac:dyDescent="0.2">
      <c r="A219" s="8" t="s">
        <v>745</v>
      </c>
      <c r="B219" s="8" t="s">
        <v>797</v>
      </c>
      <c r="C219" s="8" t="s">
        <v>422</v>
      </c>
      <c r="D219" s="8" t="s">
        <v>423</v>
      </c>
      <c r="E219" s="8" t="s">
        <v>531</v>
      </c>
      <c r="F219" s="8" t="s">
        <v>420</v>
      </c>
      <c r="G219" s="8">
        <v>2</v>
      </c>
      <c r="H219" s="8">
        <v>0.19900000000000001</v>
      </c>
      <c r="I219" s="8" t="s">
        <v>421</v>
      </c>
      <c r="J219" s="8"/>
    </row>
    <row r="220" spans="1:10" x14ac:dyDescent="0.2">
      <c r="A220" s="8" t="s">
        <v>746</v>
      </c>
      <c r="B220" s="8" t="s">
        <v>797</v>
      </c>
      <c r="C220" s="8" t="s">
        <v>422</v>
      </c>
      <c r="D220" s="8" t="s">
        <v>423</v>
      </c>
      <c r="E220" s="8" t="s">
        <v>531</v>
      </c>
      <c r="F220" s="8" t="s">
        <v>420</v>
      </c>
      <c r="G220" s="8">
        <v>2</v>
      </c>
      <c r="H220" s="8">
        <v>0.20599999999999999</v>
      </c>
      <c r="I220" s="8" t="s">
        <v>421</v>
      </c>
      <c r="J220" s="8"/>
    </row>
    <row r="221" spans="1:10" x14ac:dyDescent="0.2">
      <c r="A221" s="8" t="s">
        <v>747</v>
      </c>
      <c r="B221" s="8" t="s">
        <v>797</v>
      </c>
      <c r="C221" s="8" t="s">
        <v>422</v>
      </c>
      <c r="D221" s="8" t="s">
        <v>423</v>
      </c>
      <c r="E221" s="8" t="s">
        <v>531</v>
      </c>
      <c r="F221" s="8" t="s">
        <v>420</v>
      </c>
      <c r="G221" s="8">
        <v>2</v>
      </c>
      <c r="H221" s="8">
        <v>0.193</v>
      </c>
      <c r="I221" s="8" t="s">
        <v>421</v>
      </c>
      <c r="J221" s="8"/>
    </row>
    <row r="222" spans="1:10" x14ac:dyDescent="0.2">
      <c r="A222" s="8" t="s">
        <v>748</v>
      </c>
      <c r="B222" s="8" t="s">
        <v>797</v>
      </c>
      <c r="C222" s="8" t="s">
        <v>422</v>
      </c>
      <c r="D222" s="8" t="s">
        <v>423</v>
      </c>
      <c r="E222" s="8" t="s">
        <v>531</v>
      </c>
      <c r="F222" s="8" t="s">
        <v>420</v>
      </c>
      <c r="G222" s="8">
        <v>2</v>
      </c>
      <c r="H222" s="8">
        <v>0.28299999999999997</v>
      </c>
      <c r="I222" s="8" t="s">
        <v>421</v>
      </c>
      <c r="J222" s="8"/>
    </row>
    <row r="223" spans="1:10" x14ac:dyDescent="0.2">
      <c r="A223" s="8" t="s">
        <v>749</v>
      </c>
      <c r="B223" s="8" t="s">
        <v>797</v>
      </c>
      <c r="C223" s="8" t="s">
        <v>422</v>
      </c>
      <c r="D223" s="8" t="s">
        <v>423</v>
      </c>
      <c r="E223" s="8" t="s">
        <v>531</v>
      </c>
      <c r="F223" s="8" t="s">
        <v>420</v>
      </c>
      <c r="G223" s="8">
        <v>2</v>
      </c>
      <c r="H223" s="8">
        <v>0.14199999999999999</v>
      </c>
      <c r="I223" s="8" t="s">
        <v>421</v>
      </c>
      <c r="J223" s="8"/>
    </row>
    <row r="224" spans="1:10" x14ac:dyDescent="0.2">
      <c r="A224" s="8" t="s">
        <v>750</v>
      </c>
      <c r="B224" s="8" t="s">
        <v>797</v>
      </c>
      <c r="C224" s="8" t="s">
        <v>422</v>
      </c>
      <c r="D224" s="8" t="s">
        <v>423</v>
      </c>
      <c r="E224" s="8" t="s">
        <v>531</v>
      </c>
      <c r="F224" s="8" t="s">
        <v>420</v>
      </c>
      <c r="G224" s="8">
        <v>2</v>
      </c>
      <c r="H224" s="8">
        <v>9.1300000000000006E-2</v>
      </c>
      <c r="I224" s="8" t="s">
        <v>421</v>
      </c>
      <c r="J224" s="8"/>
    </row>
    <row r="225" spans="1:10" x14ac:dyDescent="0.2">
      <c r="A225" s="8" t="s">
        <v>751</v>
      </c>
      <c r="B225" s="8" t="s">
        <v>797</v>
      </c>
      <c r="C225" s="8" t="s">
        <v>422</v>
      </c>
      <c r="D225" s="8" t="s">
        <v>423</v>
      </c>
      <c r="E225" s="8" t="s">
        <v>531</v>
      </c>
      <c r="F225" s="8" t="s">
        <v>420</v>
      </c>
      <c r="G225" s="8">
        <v>2</v>
      </c>
      <c r="H225" s="8">
        <v>8.0699999999999994E-2</v>
      </c>
      <c r="I225" s="8" t="s">
        <v>421</v>
      </c>
      <c r="J225" s="8"/>
    </row>
    <row r="226" spans="1:10" x14ac:dyDescent="0.2">
      <c r="A226" s="8" t="s">
        <v>752</v>
      </c>
      <c r="B226" s="8" t="s">
        <v>797</v>
      </c>
      <c r="C226" s="8" t="s">
        <v>422</v>
      </c>
      <c r="D226" s="8" t="s">
        <v>423</v>
      </c>
      <c r="E226" s="8" t="s">
        <v>531</v>
      </c>
      <c r="F226" s="8" t="s">
        <v>420</v>
      </c>
      <c r="G226" s="8">
        <v>2</v>
      </c>
      <c r="H226" s="8">
        <v>0.115</v>
      </c>
      <c r="I226" s="8" t="s">
        <v>421</v>
      </c>
      <c r="J226" s="8"/>
    </row>
    <row r="227" spans="1:10" x14ac:dyDescent="0.2">
      <c r="A227" s="8" t="s">
        <v>753</v>
      </c>
      <c r="B227" s="8" t="s">
        <v>797</v>
      </c>
      <c r="C227" s="8" t="s">
        <v>422</v>
      </c>
      <c r="D227" s="8" t="s">
        <v>423</v>
      </c>
      <c r="E227" s="8" t="s">
        <v>531</v>
      </c>
      <c r="F227" s="8" t="s">
        <v>420</v>
      </c>
      <c r="G227" s="8">
        <v>2</v>
      </c>
      <c r="H227" s="8">
        <v>0.11</v>
      </c>
      <c r="I227" s="8" t="s">
        <v>421</v>
      </c>
      <c r="J227" s="8"/>
    </row>
    <row r="228" spans="1:10" x14ac:dyDescent="0.2">
      <c r="A228" s="8" t="s">
        <v>754</v>
      </c>
      <c r="B228" s="8" t="s">
        <v>797</v>
      </c>
      <c r="C228" s="8" t="s">
        <v>422</v>
      </c>
      <c r="D228" s="8" t="s">
        <v>423</v>
      </c>
      <c r="E228" s="8" t="s">
        <v>531</v>
      </c>
      <c r="F228" s="8" t="s">
        <v>420</v>
      </c>
      <c r="G228" s="8">
        <v>2</v>
      </c>
      <c r="H228" s="8">
        <v>9.3299999999999994E-2</v>
      </c>
      <c r="I228" s="8" t="s">
        <v>421</v>
      </c>
      <c r="J228" s="8"/>
    </row>
    <row r="229" spans="1:10" x14ac:dyDescent="0.2">
      <c r="A229" s="8" t="s">
        <v>755</v>
      </c>
      <c r="B229" s="8" t="s">
        <v>797</v>
      </c>
      <c r="C229" s="8" t="s">
        <v>422</v>
      </c>
      <c r="D229" s="8" t="s">
        <v>423</v>
      </c>
      <c r="E229" s="8" t="s">
        <v>531</v>
      </c>
      <c r="F229" s="8" t="s">
        <v>420</v>
      </c>
      <c r="G229" s="8">
        <v>2</v>
      </c>
      <c r="H229" s="8">
        <v>0.115</v>
      </c>
      <c r="I229" s="8" t="s">
        <v>421</v>
      </c>
      <c r="J229" s="8"/>
    </row>
    <row r="230" spans="1:10" x14ac:dyDescent="0.2">
      <c r="A230" s="8" t="s">
        <v>756</v>
      </c>
      <c r="B230" s="8" t="s">
        <v>797</v>
      </c>
      <c r="C230" s="8" t="s">
        <v>422</v>
      </c>
      <c r="D230" s="8" t="s">
        <v>423</v>
      </c>
      <c r="E230" s="8" t="s">
        <v>531</v>
      </c>
      <c r="F230" s="8" t="s">
        <v>420</v>
      </c>
      <c r="G230" s="8">
        <v>2</v>
      </c>
      <c r="H230" s="8">
        <v>0.111</v>
      </c>
      <c r="I230" s="8" t="s">
        <v>421</v>
      </c>
      <c r="J230" s="8"/>
    </row>
    <row r="231" spans="1:10" x14ac:dyDescent="0.2">
      <c r="A231" s="8" t="s">
        <v>757</v>
      </c>
      <c r="B231" s="8" t="s">
        <v>797</v>
      </c>
      <c r="C231" s="8" t="s">
        <v>422</v>
      </c>
      <c r="D231" s="8" t="s">
        <v>423</v>
      </c>
      <c r="E231" s="8" t="s">
        <v>531</v>
      </c>
      <c r="F231" s="8" t="s">
        <v>420</v>
      </c>
      <c r="G231" s="8">
        <v>2</v>
      </c>
      <c r="H231" s="8">
        <v>0.09</v>
      </c>
      <c r="I231" s="8" t="s">
        <v>421</v>
      </c>
      <c r="J231" s="8"/>
    </row>
    <row r="232" spans="1:10" x14ac:dyDescent="0.2">
      <c r="A232" s="8" t="s">
        <v>758</v>
      </c>
      <c r="B232" s="8" t="s">
        <v>797</v>
      </c>
      <c r="C232" s="8" t="s">
        <v>422</v>
      </c>
      <c r="D232" s="8" t="s">
        <v>423</v>
      </c>
      <c r="E232" s="8" t="s">
        <v>531</v>
      </c>
      <c r="F232" s="8" t="s">
        <v>420</v>
      </c>
      <c r="G232" s="8">
        <v>2</v>
      </c>
      <c r="H232" s="8">
        <v>6.5299999999999997E-2</v>
      </c>
      <c r="I232" s="8" t="s">
        <v>421</v>
      </c>
      <c r="J232" s="8"/>
    </row>
    <row r="233" spans="1:10" x14ac:dyDescent="0.2">
      <c r="A233" s="8" t="s">
        <v>759</v>
      </c>
      <c r="B233" s="8" t="s">
        <v>797</v>
      </c>
      <c r="C233" s="8" t="s">
        <v>422</v>
      </c>
      <c r="D233" s="8" t="s">
        <v>423</v>
      </c>
      <c r="E233" s="8" t="s">
        <v>531</v>
      </c>
      <c r="F233" s="8" t="s">
        <v>420</v>
      </c>
      <c r="G233" s="8">
        <v>2</v>
      </c>
      <c r="H233" s="8">
        <v>9.8699999999999996E-2</v>
      </c>
      <c r="I233" s="8" t="s">
        <v>421</v>
      </c>
      <c r="J233" s="8"/>
    </row>
    <row r="234" spans="1:10" x14ac:dyDescent="0.2">
      <c r="A234" s="8" t="s">
        <v>760</v>
      </c>
      <c r="B234" s="8" t="s">
        <v>797</v>
      </c>
      <c r="C234" s="8" t="s">
        <v>422</v>
      </c>
      <c r="D234" s="8" t="s">
        <v>423</v>
      </c>
      <c r="E234" s="8" t="s">
        <v>531</v>
      </c>
      <c r="F234" s="8" t="s">
        <v>420</v>
      </c>
      <c r="G234" s="8">
        <v>2</v>
      </c>
      <c r="H234" s="8">
        <v>0.123</v>
      </c>
      <c r="I234" s="8" t="s">
        <v>421</v>
      </c>
      <c r="J234" s="8"/>
    </row>
    <row r="235" spans="1:10" x14ac:dyDescent="0.2">
      <c r="A235" s="8" t="s">
        <v>761</v>
      </c>
      <c r="B235" s="8" t="s">
        <v>797</v>
      </c>
      <c r="C235" s="8" t="s">
        <v>422</v>
      </c>
      <c r="D235" s="8" t="s">
        <v>423</v>
      </c>
      <c r="E235" s="8" t="s">
        <v>531</v>
      </c>
      <c r="F235" s="8" t="s">
        <v>420</v>
      </c>
      <c r="G235" s="8">
        <v>2</v>
      </c>
      <c r="H235" s="8">
        <v>0.107</v>
      </c>
      <c r="I235" s="8" t="s">
        <v>421</v>
      </c>
      <c r="J235" s="8"/>
    </row>
    <row r="236" spans="1:10" x14ac:dyDescent="0.2">
      <c r="A236" s="8" t="s">
        <v>502</v>
      </c>
      <c r="B236" s="8" t="s">
        <v>797</v>
      </c>
      <c r="C236" s="8" t="s">
        <v>422</v>
      </c>
      <c r="D236" s="8" t="s">
        <v>423</v>
      </c>
      <c r="E236" s="8" t="s">
        <v>531</v>
      </c>
      <c r="F236" s="8" t="s">
        <v>420</v>
      </c>
      <c r="G236" s="8">
        <v>2</v>
      </c>
      <c r="H236" s="8">
        <v>0.14000000000000001</v>
      </c>
      <c r="I236" s="8" t="s">
        <v>421</v>
      </c>
      <c r="J236" s="8"/>
    </row>
    <row r="237" spans="1:10" x14ac:dyDescent="0.2">
      <c r="A237" s="8" t="s">
        <v>503</v>
      </c>
      <c r="B237" s="8" t="s">
        <v>797</v>
      </c>
      <c r="C237" s="8" t="s">
        <v>422</v>
      </c>
      <c r="D237" s="8" t="s">
        <v>423</v>
      </c>
      <c r="E237" s="8" t="s">
        <v>531</v>
      </c>
      <c r="F237" s="8" t="s">
        <v>420</v>
      </c>
      <c r="G237" s="8">
        <v>2</v>
      </c>
      <c r="H237" s="8">
        <v>0.13200000000000001</v>
      </c>
      <c r="I237" s="8" t="s">
        <v>421</v>
      </c>
      <c r="J237" s="8"/>
    </row>
    <row r="238" spans="1:10" x14ac:dyDescent="0.2">
      <c r="A238" s="8" t="s">
        <v>762</v>
      </c>
      <c r="B238" s="8" t="s">
        <v>797</v>
      </c>
      <c r="C238" s="8" t="s">
        <v>422</v>
      </c>
      <c r="D238" s="8" t="s">
        <v>423</v>
      </c>
      <c r="E238" s="8" t="s">
        <v>531</v>
      </c>
      <c r="F238" s="8" t="s">
        <v>420</v>
      </c>
      <c r="G238" s="8">
        <v>2</v>
      </c>
      <c r="H238" s="8">
        <v>0.153</v>
      </c>
      <c r="I238" s="8" t="s">
        <v>421</v>
      </c>
      <c r="J238" s="8"/>
    </row>
    <row r="239" spans="1:10" x14ac:dyDescent="0.2">
      <c r="A239" s="8" t="s">
        <v>763</v>
      </c>
      <c r="B239" s="8" t="s">
        <v>797</v>
      </c>
      <c r="C239" s="8" t="s">
        <v>422</v>
      </c>
      <c r="D239" s="8" t="s">
        <v>423</v>
      </c>
      <c r="E239" s="8" t="s">
        <v>531</v>
      </c>
      <c r="F239" s="8" t="s">
        <v>420</v>
      </c>
      <c r="G239" s="8">
        <v>2</v>
      </c>
      <c r="H239" s="8">
        <v>0.13600000000000001</v>
      </c>
      <c r="I239" s="8" t="s">
        <v>421</v>
      </c>
      <c r="J239" s="8"/>
    </row>
    <row r="240" spans="1:10" x14ac:dyDescent="0.2">
      <c r="A240" s="8" t="s">
        <v>764</v>
      </c>
      <c r="B240" s="8" t="s">
        <v>797</v>
      </c>
      <c r="C240" s="8" t="s">
        <v>422</v>
      </c>
      <c r="D240" s="8" t="s">
        <v>423</v>
      </c>
      <c r="E240" s="8" t="s">
        <v>531</v>
      </c>
      <c r="F240" s="8" t="s">
        <v>420</v>
      </c>
      <c r="G240" s="8">
        <v>2</v>
      </c>
      <c r="H240" s="8">
        <v>0.115</v>
      </c>
      <c r="I240" s="8" t="s">
        <v>421</v>
      </c>
      <c r="J240" s="8"/>
    </row>
    <row r="241" spans="1:10" x14ac:dyDescent="0.2">
      <c r="A241" s="8" t="s">
        <v>765</v>
      </c>
      <c r="B241" s="8" t="s">
        <v>797</v>
      </c>
      <c r="C241" s="8" t="s">
        <v>422</v>
      </c>
      <c r="D241" s="8" t="s">
        <v>423</v>
      </c>
      <c r="E241" s="8" t="s">
        <v>531</v>
      </c>
      <c r="F241" s="8" t="s">
        <v>420</v>
      </c>
      <c r="G241" s="8">
        <v>2</v>
      </c>
      <c r="H241" s="8">
        <v>0.17199999999999999</v>
      </c>
      <c r="I241" s="8" t="s">
        <v>421</v>
      </c>
      <c r="J241" s="8"/>
    </row>
    <row r="242" spans="1:10" x14ac:dyDescent="0.2">
      <c r="A242" s="8" t="s">
        <v>766</v>
      </c>
      <c r="B242" s="8" t="s">
        <v>797</v>
      </c>
      <c r="C242" s="8" t="s">
        <v>422</v>
      </c>
      <c r="D242" s="8" t="s">
        <v>423</v>
      </c>
      <c r="E242" s="8" t="s">
        <v>531</v>
      </c>
      <c r="F242" s="8" t="s">
        <v>420</v>
      </c>
      <c r="G242" s="8">
        <v>2</v>
      </c>
      <c r="H242" s="8">
        <v>0.182</v>
      </c>
      <c r="I242" s="8" t="s">
        <v>421</v>
      </c>
      <c r="J242" s="8"/>
    </row>
    <row r="243" spans="1:10" x14ac:dyDescent="0.2">
      <c r="A243" s="8" t="s">
        <v>767</v>
      </c>
      <c r="B243" s="8" t="s">
        <v>797</v>
      </c>
      <c r="C243" s="8" t="s">
        <v>422</v>
      </c>
      <c r="D243" s="8" t="s">
        <v>423</v>
      </c>
      <c r="E243" s="8" t="s">
        <v>531</v>
      </c>
      <c r="F243" s="8" t="s">
        <v>420</v>
      </c>
      <c r="G243" s="8">
        <v>2</v>
      </c>
      <c r="H243" s="8">
        <v>0.217</v>
      </c>
      <c r="I243" s="8" t="s">
        <v>421</v>
      </c>
      <c r="J243" s="8"/>
    </row>
    <row r="244" spans="1:10" x14ac:dyDescent="0.2">
      <c r="A244" s="8" t="s">
        <v>768</v>
      </c>
      <c r="B244" s="8" t="s">
        <v>797</v>
      </c>
      <c r="C244" s="8" t="s">
        <v>422</v>
      </c>
      <c r="D244" s="8" t="s">
        <v>423</v>
      </c>
      <c r="E244" s="8" t="s">
        <v>531</v>
      </c>
      <c r="F244" s="8" t="s">
        <v>420</v>
      </c>
      <c r="G244" s="8">
        <v>2</v>
      </c>
      <c r="H244" s="8">
        <v>0.17100000000000001</v>
      </c>
      <c r="I244" s="8" t="s">
        <v>421</v>
      </c>
      <c r="J244" s="8"/>
    </row>
    <row r="245" spans="1:10" x14ac:dyDescent="0.2">
      <c r="A245" s="8" t="s">
        <v>769</v>
      </c>
      <c r="B245" s="8" t="s">
        <v>797</v>
      </c>
      <c r="C245" s="8" t="s">
        <v>422</v>
      </c>
      <c r="D245" s="8" t="s">
        <v>423</v>
      </c>
      <c r="E245" s="8" t="s">
        <v>531</v>
      </c>
      <c r="F245" s="8" t="s">
        <v>420</v>
      </c>
      <c r="G245" s="8">
        <v>2</v>
      </c>
      <c r="H245" s="8">
        <v>0.158</v>
      </c>
      <c r="I245" s="8" t="s">
        <v>421</v>
      </c>
      <c r="J245" s="8"/>
    </row>
    <row r="246" spans="1:10" x14ac:dyDescent="0.2">
      <c r="A246" s="8" t="s">
        <v>770</v>
      </c>
      <c r="B246" s="8" t="s">
        <v>797</v>
      </c>
      <c r="C246" s="8" t="s">
        <v>422</v>
      </c>
      <c r="D246" s="8" t="s">
        <v>423</v>
      </c>
      <c r="E246" s="8" t="s">
        <v>531</v>
      </c>
      <c r="F246" s="8" t="s">
        <v>420</v>
      </c>
      <c r="G246" s="8">
        <v>2</v>
      </c>
      <c r="H246" s="8">
        <v>0.157</v>
      </c>
      <c r="I246" s="8" t="s">
        <v>421</v>
      </c>
      <c r="J246" s="8"/>
    </row>
    <row r="247" spans="1:10" x14ac:dyDescent="0.2">
      <c r="A247" s="8" t="s">
        <v>771</v>
      </c>
      <c r="B247" s="8" t="s">
        <v>797</v>
      </c>
      <c r="C247" s="8" t="s">
        <v>422</v>
      </c>
      <c r="D247" s="8" t="s">
        <v>423</v>
      </c>
      <c r="E247" s="8" t="s">
        <v>531</v>
      </c>
      <c r="F247" s="8" t="s">
        <v>420</v>
      </c>
      <c r="G247" s="8">
        <v>2</v>
      </c>
      <c r="H247" s="8">
        <v>0.10100000000000001</v>
      </c>
      <c r="I247" s="8" t="s">
        <v>421</v>
      </c>
      <c r="J247" s="8"/>
    </row>
    <row r="248" spans="1:10" x14ac:dyDescent="0.2">
      <c r="A248" s="8" t="s">
        <v>772</v>
      </c>
      <c r="B248" s="8" t="s">
        <v>797</v>
      </c>
      <c r="C248" s="8" t="s">
        <v>422</v>
      </c>
      <c r="D248" s="8" t="s">
        <v>423</v>
      </c>
      <c r="E248" s="8" t="s">
        <v>531</v>
      </c>
      <c r="F248" s="8" t="s">
        <v>420</v>
      </c>
      <c r="G248" s="8">
        <v>2</v>
      </c>
      <c r="H248" s="8">
        <v>0.17299999999999999</v>
      </c>
      <c r="I248" s="8" t="s">
        <v>421</v>
      </c>
      <c r="J248" s="8"/>
    </row>
    <row r="249" spans="1:10" x14ac:dyDescent="0.2">
      <c r="A249" s="8" t="s">
        <v>773</v>
      </c>
      <c r="B249" s="8" t="s">
        <v>797</v>
      </c>
      <c r="C249" s="8" t="s">
        <v>422</v>
      </c>
      <c r="D249" s="8" t="s">
        <v>423</v>
      </c>
      <c r="E249" s="8" t="s">
        <v>531</v>
      </c>
      <c r="F249" s="8" t="s">
        <v>420</v>
      </c>
      <c r="G249" s="8">
        <v>2</v>
      </c>
      <c r="H249" s="8">
        <v>0.11700000000000001</v>
      </c>
      <c r="I249" s="8" t="s">
        <v>421</v>
      </c>
      <c r="J249" s="8"/>
    </row>
    <row r="250" spans="1:10" x14ac:dyDescent="0.2">
      <c r="A250" s="8" t="s">
        <v>774</v>
      </c>
      <c r="B250" s="8" t="s">
        <v>797</v>
      </c>
      <c r="C250" s="8" t="s">
        <v>422</v>
      </c>
      <c r="D250" s="8" t="s">
        <v>423</v>
      </c>
      <c r="E250" s="8" t="s">
        <v>531</v>
      </c>
      <c r="F250" s="8" t="s">
        <v>420</v>
      </c>
      <c r="G250" s="8">
        <v>2</v>
      </c>
      <c r="H250" s="8">
        <v>0.125</v>
      </c>
      <c r="I250" s="8" t="s">
        <v>421</v>
      </c>
      <c r="J250" s="8"/>
    </row>
    <row r="251" spans="1:10" x14ac:dyDescent="0.2">
      <c r="A251" s="8" t="s">
        <v>775</v>
      </c>
      <c r="B251" s="8" t="s">
        <v>797</v>
      </c>
      <c r="C251" s="8" t="s">
        <v>422</v>
      </c>
      <c r="D251" s="8" t="s">
        <v>423</v>
      </c>
      <c r="E251" s="8" t="s">
        <v>531</v>
      </c>
      <c r="F251" s="8" t="s">
        <v>420</v>
      </c>
      <c r="G251" s="8">
        <v>2</v>
      </c>
      <c r="H251" s="8">
        <v>0.13300000000000001</v>
      </c>
      <c r="I251" s="8" t="s">
        <v>421</v>
      </c>
      <c r="J251" s="8"/>
    </row>
    <row r="252" spans="1:10" x14ac:dyDescent="0.2">
      <c r="A252" s="8" t="s">
        <v>776</v>
      </c>
      <c r="B252" s="8" t="s">
        <v>797</v>
      </c>
      <c r="C252" s="8" t="s">
        <v>422</v>
      </c>
      <c r="D252" s="8" t="s">
        <v>423</v>
      </c>
      <c r="E252" s="8" t="s">
        <v>531</v>
      </c>
      <c r="F252" s="8" t="s">
        <v>420</v>
      </c>
      <c r="G252" s="8">
        <v>2</v>
      </c>
      <c r="H252" s="8">
        <v>7.3300000000000004E-2</v>
      </c>
      <c r="I252" s="8" t="s">
        <v>421</v>
      </c>
      <c r="J252" s="8"/>
    </row>
    <row r="253" spans="1:10" x14ac:dyDescent="0.2">
      <c r="A253" s="8" t="s">
        <v>777</v>
      </c>
      <c r="B253" s="8" t="s">
        <v>797</v>
      </c>
      <c r="C253" s="8" t="s">
        <v>422</v>
      </c>
      <c r="D253" s="8" t="s">
        <v>423</v>
      </c>
      <c r="E253" s="8" t="s">
        <v>531</v>
      </c>
      <c r="F253" s="8" t="s">
        <v>420</v>
      </c>
      <c r="G253" s="8">
        <v>2</v>
      </c>
      <c r="H253" s="8">
        <v>0.14699999999999999</v>
      </c>
      <c r="I253" s="8" t="s">
        <v>421</v>
      </c>
      <c r="J253" s="8"/>
    </row>
    <row r="254" spans="1:10" x14ac:dyDescent="0.2">
      <c r="A254" s="8" t="s">
        <v>778</v>
      </c>
      <c r="B254" s="8" t="s">
        <v>797</v>
      </c>
      <c r="C254" s="8" t="s">
        <v>422</v>
      </c>
      <c r="D254" s="8" t="s">
        <v>423</v>
      </c>
      <c r="E254" s="8" t="s">
        <v>531</v>
      </c>
      <c r="F254" s="8" t="s">
        <v>420</v>
      </c>
      <c r="G254" s="8">
        <v>2</v>
      </c>
      <c r="H254" s="8">
        <v>0.107</v>
      </c>
      <c r="I254" s="8" t="s">
        <v>421</v>
      </c>
      <c r="J254" s="8"/>
    </row>
    <row r="255" spans="1:10" x14ac:dyDescent="0.2">
      <c r="A255" s="8" t="s">
        <v>779</v>
      </c>
      <c r="B255" s="8" t="s">
        <v>797</v>
      </c>
      <c r="C255" s="8" t="s">
        <v>422</v>
      </c>
      <c r="D255" s="8" t="s">
        <v>423</v>
      </c>
      <c r="E255" s="8" t="s">
        <v>531</v>
      </c>
      <c r="F255" s="8" t="s">
        <v>420</v>
      </c>
      <c r="G255" s="8">
        <v>2</v>
      </c>
      <c r="H255" s="8">
        <v>8.4699999999999998E-2</v>
      </c>
      <c r="I255" s="8" t="s">
        <v>421</v>
      </c>
      <c r="J255" s="8"/>
    </row>
    <row r="256" spans="1:10" x14ac:dyDescent="0.2">
      <c r="A256" s="8" t="s">
        <v>780</v>
      </c>
      <c r="B256" s="8" t="s">
        <v>797</v>
      </c>
      <c r="C256" s="8" t="s">
        <v>422</v>
      </c>
      <c r="D256" s="8" t="s">
        <v>423</v>
      </c>
      <c r="E256" s="8" t="s">
        <v>531</v>
      </c>
      <c r="F256" s="8" t="s">
        <v>420</v>
      </c>
      <c r="G256" s="8">
        <v>2</v>
      </c>
      <c r="H256" s="8">
        <v>0.11700000000000001</v>
      </c>
      <c r="I256" s="8" t="s">
        <v>421</v>
      </c>
      <c r="J256" s="8"/>
    </row>
    <row r="257" spans="1:10" x14ac:dyDescent="0.2">
      <c r="A257" s="8" t="s">
        <v>781</v>
      </c>
      <c r="B257" s="8" t="s">
        <v>797</v>
      </c>
      <c r="C257" s="8" t="s">
        <v>422</v>
      </c>
      <c r="D257" s="8" t="s">
        <v>423</v>
      </c>
      <c r="E257" s="8" t="s">
        <v>531</v>
      </c>
      <c r="F257" s="8" t="s">
        <v>420</v>
      </c>
      <c r="G257" s="8">
        <v>2</v>
      </c>
      <c r="H257" s="8">
        <v>9.0700000000000003E-2</v>
      </c>
      <c r="I257" s="8" t="s">
        <v>421</v>
      </c>
      <c r="J257" s="8"/>
    </row>
    <row r="258" spans="1:10" x14ac:dyDescent="0.2">
      <c r="A258" s="8" t="s">
        <v>782</v>
      </c>
      <c r="B258" s="8" t="s">
        <v>797</v>
      </c>
      <c r="C258" s="8" t="s">
        <v>422</v>
      </c>
      <c r="D258" s="8" t="s">
        <v>423</v>
      </c>
      <c r="E258" s="8" t="s">
        <v>531</v>
      </c>
      <c r="F258" s="8" t="s">
        <v>420</v>
      </c>
      <c r="G258" s="8">
        <v>2</v>
      </c>
      <c r="H258" s="8">
        <v>0.13200000000000001</v>
      </c>
      <c r="I258" s="8" t="s">
        <v>421</v>
      </c>
      <c r="J258" s="8"/>
    </row>
    <row r="259" spans="1:10" x14ac:dyDescent="0.2">
      <c r="A259" s="8" t="s">
        <v>783</v>
      </c>
      <c r="B259" s="8" t="s">
        <v>797</v>
      </c>
      <c r="C259" s="8" t="s">
        <v>422</v>
      </c>
      <c r="D259" s="8" t="s">
        <v>423</v>
      </c>
      <c r="E259" s="8" t="s">
        <v>531</v>
      </c>
      <c r="F259" s="8" t="s">
        <v>420</v>
      </c>
      <c r="G259" s="8">
        <v>2</v>
      </c>
      <c r="H259" s="8">
        <v>0.114</v>
      </c>
      <c r="I259" s="8" t="s">
        <v>421</v>
      </c>
      <c r="J259" s="8"/>
    </row>
    <row r="260" spans="1:10" x14ac:dyDescent="0.2">
      <c r="A260" s="8" t="s">
        <v>784</v>
      </c>
      <c r="B260" s="8" t="s">
        <v>797</v>
      </c>
      <c r="C260" s="8" t="s">
        <v>422</v>
      </c>
      <c r="D260" s="8" t="s">
        <v>423</v>
      </c>
      <c r="E260" s="8" t="s">
        <v>531</v>
      </c>
      <c r="F260" s="8" t="s">
        <v>420</v>
      </c>
      <c r="G260" s="8">
        <v>2</v>
      </c>
      <c r="H260" s="8">
        <v>9.4700000000000006E-2</v>
      </c>
      <c r="I260" s="8" t="s">
        <v>421</v>
      </c>
      <c r="J260" s="8"/>
    </row>
    <row r="261" spans="1:10" x14ac:dyDescent="0.2">
      <c r="A261" s="8" t="s">
        <v>785</v>
      </c>
      <c r="B261" s="8" t="s">
        <v>797</v>
      </c>
      <c r="C261" s="8" t="s">
        <v>422</v>
      </c>
      <c r="D261" s="8" t="s">
        <v>423</v>
      </c>
      <c r="E261" s="8" t="s">
        <v>531</v>
      </c>
      <c r="F261" s="8" t="s">
        <v>420</v>
      </c>
      <c r="G261" s="8">
        <v>2</v>
      </c>
      <c r="H261" s="8">
        <v>7.7299999999999994E-2</v>
      </c>
      <c r="I261" s="8" t="s">
        <v>421</v>
      </c>
      <c r="J261" s="8"/>
    </row>
    <row r="262" spans="1:10" x14ac:dyDescent="0.2">
      <c r="A262" s="8" t="s">
        <v>786</v>
      </c>
      <c r="B262" s="8" t="s">
        <v>797</v>
      </c>
      <c r="C262" s="8" t="s">
        <v>422</v>
      </c>
      <c r="D262" s="8" t="s">
        <v>423</v>
      </c>
      <c r="E262" s="8" t="s">
        <v>531</v>
      </c>
      <c r="F262" s="8" t="s">
        <v>420</v>
      </c>
      <c r="G262" s="8">
        <v>2</v>
      </c>
      <c r="H262" s="8">
        <v>0.11899999999999999</v>
      </c>
      <c r="I262" s="8" t="s">
        <v>421</v>
      </c>
      <c r="J262" s="8"/>
    </row>
    <row r="263" spans="1:10" x14ac:dyDescent="0.2">
      <c r="A263" s="8" t="s">
        <v>787</v>
      </c>
      <c r="B263" s="8" t="s">
        <v>797</v>
      </c>
      <c r="C263" s="8" t="s">
        <v>422</v>
      </c>
      <c r="D263" s="8" t="s">
        <v>423</v>
      </c>
      <c r="E263" s="8" t="s">
        <v>531</v>
      </c>
      <c r="F263" s="8" t="s">
        <v>420</v>
      </c>
      <c r="G263" s="8">
        <v>2</v>
      </c>
      <c r="H263" s="8">
        <v>5.7299999999999997E-2</v>
      </c>
      <c r="I263" s="8" t="s">
        <v>421</v>
      </c>
      <c r="J263" s="8"/>
    </row>
    <row r="264" spans="1:10" x14ac:dyDescent="0.2">
      <c r="A264" s="8" t="s">
        <v>788</v>
      </c>
      <c r="B264" s="8" t="s">
        <v>797</v>
      </c>
      <c r="C264" s="8" t="s">
        <v>422</v>
      </c>
      <c r="D264" s="8" t="s">
        <v>423</v>
      </c>
      <c r="E264" s="8" t="s">
        <v>531</v>
      </c>
      <c r="F264" s="8" t="s">
        <v>420</v>
      </c>
      <c r="G264" s="8">
        <v>2</v>
      </c>
      <c r="H264" s="8">
        <v>8.4000000000000005E-2</v>
      </c>
      <c r="I264" s="8" t="s">
        <v>421</v>
      </c>
      <c r="J264" s="8"/>
    </row>
    <row r="265" spans="1:10" x14ac:dyDescent="0.2">
      <c r="D265" s="23"/>
      <c r="E265" s="23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C0CDD-8B99-B847-B1C5-95B0B2658236}">
  <dimension ref="A1:V136"/>
  <sheetViews>
    <sheetView zoomScale="50" workbookViewId="0">
      <selection activeCell="I1" sqref="A1:I1"/>
    </sheetView>
  </sheetViews>
  <sheetFormatPr baseColWidth="10" defaultRowHeight="15" x14ac:dyDescent="0.2"/>
  <cols>
    <col min="1" max="1" width="11" bestFit="1" customWidth="1"/>
    <col min="2" max="2" width="50.33203125" bestFit="1" customWidth="1"/>
    <col min="3" max="3" width="12.5" bestFit="1" customWidth="1"/>
    <col min="4" max="4" width="15.83203125" bestFit="1" customWidth="1"/>
    <col min="5" max="5" width="39.33203125" bestFit="1" customWidth="1"/>
    <col min="6" max="6" width="27.5" bestFit="1" customWidth="1"/>
    <col min="8" max="8" width="71.1640625" bestFit="1" customWidth="1"/>
    <col min="9" max="10" width="71.1640625" customWidth="1"/>
    <col min="12" max="12" width="63" bestFit="1" customWidth="1"/>
    <col min="13" max="13" width="18" bestFit="1" customWidth="1"/>
    <col min="14" max="15" width="47.83203125" bestFit="1" customWidth="1"/>
    <col min="16" max="16" width="11.6640625" bestFit="1" customWidth="1"/>
    <col min="17" max="17" width="35.33203125" bestFit="1" customWidth="1"/>
    <col min="18" max="18" width="40.5" bestFit="1" customWidth="1"/>
    <col min="19" max="19" width="26.33203125" bestFit="1" customWidth="1"/>
    <col min="20" max="20" width="9.33203125" bestFit="1" customWidth="1"/>
    <col min="21" max="21" width="45.6640625" bestFit="1" customWidth="1"/>
    <col min="22" max="22" width="16.33203125" bestFit="1" customWidth="1"/>
  </cols>
  <sheetData>
    <row r="1" spans="1:22" x14ac:dyDescent="0.2">
      <c r="A1" s="8" t="s">
        <v>0</v>
      </c>
      <c r="B1" s="8" t="s">
        <v>410</v>
      </c>
      <c r="C1" s="8" t="s">
        <v>664</v>
      </c>
      <c r="D1" s="8" t="s">
        <v>792</v>
      </c>
      <c r="E1" s="8" t="s">
        <v>799</v>
      </c>
      <c r="F1" s="8" t="s">
        <v>798</v>
      </c>
      <c r="G1" s="8" t="s">
        <v>819</v>
      </c>
      <c r="H1" s="8" t="s">
        <v>820</v>
      </c>
      <c r="I1" s="18" t="s">
        <v>821</v>
      </c>
      <c r="L1" s="8" t="s">
        <v>810</v>
      </c>
      <c r="M1" s="8" t="s">
        <v>804</v>
      </c>
      <c r="N1" s="8" t="s">
        <v>805</v>
      </c>
      <c r="O1" s="8" t="s">
        <v>806</v>
      </c>
      <c r="P1" s="8" t="s">
        <v>416</v>
      </c>
      <c r="Q1" s="8" t="s">
        <v>800</v>
      </c>
      <c r="R1" s="8" t="s">
        <v>801</v>
      </c>
      <c r="S1" s="8" t="s">
        <v>802</v>
      </c>
      <c r="T1" s="8" t="s">
        <v>807</v>
      </c>
      <c r="U1" s="8" t="s">
        <v>808</v>
      </c>
      <c r="V1" s="8" t="s">
        <v>809</v>
      </c>
    </row>
    <row r="2" spans="1:22" x14ac:dyDescent="0.2">
      <c r="A2" s="8" t="s">
        <v>35</v>
      </c>
      <c r="B2" s="8" t="s">
        <v>493</v>
      </c>
      <c r="C2" s="8" t="s">
        <v>665</v>
      </c>
      <c r="D2" s="8">
        <v>0.10199999999999999</v>
      </c>
      <c r="E2" s="8">
        <v>2.04</v>
      </c>
      <c r="F2" s="8" t="s">
        <v>659</v>
      </c>
      <c r="G2" s="8">
        <v>17</v>
      </c>
      <c r="H2">
        <f t="shared" ref="H2:H33" si="0">E2*17/20</f>
        <v>1.734</v>
      </c>
      <c r="I2" t="s">
        <v>822</v>
      </c>
      <c r="L2" s="8" t="s">
        <v>822</v>
      </c>
      <c r="M2" s="8">
        <v>0.10199999999999999</v>
      </c>
      <c r="N2" s="8"/>
      <c r="O2" s="8"/>
      <c r="P2" s="8">
        <v>17</v>
      </c>
      <c r="Q2" s="8" t="s">
        <v>803</v>
      </c>
      <c r="R2" s="8" t="s">
        <v>956</v>
      </c>
      <c r="S2" s="8" t="s">
        <v>957</v>
      </c>
      <c r="T2" s="8"/>
      <c r="U2" s="8"/>
      <c r="V2" s="8"/>
    </row>
    <row r="3" spans="1:22" x14ac:dyDescent="0.2">
      <c r="A3" s="8" t="s">
        <v>37</v>
      </c>
      <c r="B3" s="8" t="s">
        <v>484</v>
      </c>
      <c r="C3" s="8" t="s">
        <v>666</v>
      </c>
      <c r="D3" s="8">
        <v>0.10299999999999999</v>
      </c>
      <c r="E3" s="8">
        <v>2.06</v>
      </c>
      <c r="F3" s="8" t="s">
        <v>659</v>
      </c>
      <c r="G3" s="8">
        <v>17</v>
      </c>
      <c r="H3">
        <f t="shared" si="0"/>
        <v>1.7510000000000001</v>
      </c>
      <c r="I3" t="s">
        <v>823</v>
      </c>
      <c r="L3" s="8" t="s">
        <v>823</v>
      </c>
      <c r="M3" s="8">
        <v>0.10299999999999999</v>
      </c>
      <c r="N3" s="8"/>
      <c r="O3" s="8"/>
      <c r="P3" s="8">
        <v>17</v>
      </c>
      <c r="Q3" s="8" t="s">
        <v>803</v>
      </c>
      <c r="R3" s="8" t="s">
        <v>956</v>
      </c>
      <c r="S3" s="8" t="s">
        <v>957</v>
      </c>
      <c r="T3" s="8"/>
      <c r="U3" s="8"/>
      <c r="V3" s="8"/>
    </row>
    <row r="4" spans="1:22" x14ac:dyDescent="0.2">
      <c r="A4" s="8" t="s">
        <v>84</v>
      </c>
      <c r="B4" s="8" t="s">
        <v>485</v>
      </c>
      <c r="C4" s="8" t="s">
        <v>667</v>
      </c>
      <c r="D4" s="8">
        <v>0.14299999999999999</v>
      </c>
      <c r="E4" s="8">
        <v>2.86</v>
      </c>
      <c r="F4" s="8" t="s">
        <v>659</v>
      </c>
      <c r="G4" s="8">
        <v>17</v>
      </c>
      <c r="H4">
        <f t="shared" si="0"/>
        <v>2.431</v>
      </c>
      <c r="I4" t="s">
        <v>824</v>
      </c>
      <c r="L4" s="8" t="s">
        <v>824</v>
      </c>
      <c r="M4" s="8">
        <v>0.14299999999999999</v>
      </c>
      <c r="N4" s="8"/>
      <c r="O4" s="8"/>
      <c r="P4" s="8">
        <v>17</v>
      </c>
      <c r="Q4" s="8" t="s">
        <v>803</v>
      </c>
      <c r="R4" s="8" t="s">
        <v>956</v>
      </c>
      <c r="S4" s="8" t="s">
        <v>957</v>
      </c>
      <c r="T4" s="8"/>
      <c r="U4" s="8"/>
      <c r="V4" s="8"/>
    </row>
    <row r="5" spans="1:22" x14ac:dyDescent="0.2">
      <c r="A5" s="8" t="s">
        <v>169</v>
      </c>
      <c r="B5" s="8" t="s">
        <v>491</v>
      </c>
      <c r="C5" s="8" t="s">
        <v>668</v>
      </c>
      <c r="D5" s="8">
        <v>0.11899999999999999</v>
      </c>
      <c r="E5" s="8">
        <v>2.38</v>
      </c>
      <c r="F5" s="8" t="s">
        <v>659</v>
      </c>
      <c r="G5" s="8">
        <v>17</v>
      </c>
      <c r="H5">
        <f t="shared" si="0"/>
        <v>2.0230000000000001</v>
      </c>
      <c r="I5" t="s">
        <v>825</v>
      </c>
      <c r="L5" s="8" t="s">
        <v>825</v>
      </c>
      <c r="M5" s="8">
        <v>0.11899999999999999</v>
      </c>
      <c r="N5" s="8"/>
      <c r="O5" s="8"/>
      <c r="P5" s="8">
        <v>17</v>
      </c>
      <c r="Q5" s="8" t="s">
        <v>803</v>
      </c>
      <c r="R5" s="8" t="s">
        <v>956</v>
      </c>
      <c r="S5" s="8" t="s">
        <v>957</v>
      </c>
      <c r="T5" s="8"/>
      <c r="U5" s="8"/>
      <c r="V5" s="8"/>
    </row>
    <row r="6" spans="1:22" x14ac:dyDescent="0.2">
      <c r="A6" s="8" t="s">
        <v>49</v>
      </c>
      <c r="B6" s="8" t="s">
        <v>495</v>
      </c>
      <c r="C6" s="8" t="s">
        <v>669</v>
      </c>
      <c r="D6" s="8">
        <v>0.13700000000000001</v>
      </c>
      <c r="E6" s="8">
        <v>2.74</v>
      </c>
      <c r="F6" s="8" t="s">
        <v>659</v>
      </c>
      <c r="G6" s="8">
        <v>17</v>
      </c>
      <c r="H6">
        <f t="shared" si="0"/>
        <v>2.3290000000000002</v>
      </c>
      <c r="I6" t="s">
        <v>826</v>
      </c>
      <c r="L6" s="8" t="s">
        <v>826</v>
      </c>
      <c r="M6" s="8">
        <v>0.13700000000000001</v>
      </c>
      <c r="N6" s="8"/>
      <c r="O6" s="8"/>
      <c r="P6" s="8">
        <v>17</v>
      </c>
      <c r="Q6" s="8" t="s">
        <v>803</v>
      </c>
      <c r="R6" s="8" t="s">
        <v>956</v>
      </c>
      <c r="S6" s="8" t="s">
        <v>957</v>
      </c>
      <c r="T6" s="8"/>
      <c r="U6" s="8"/>
      <c r="V6" s="8"/>
    </row>
    <row r="7" spans="1:22" x14ac:dyDescent="0.2">
      <c r="A7" s="8" t="s">
        <v>365</v>
      </c>
      <c r="B7" s="8" t="s">
        <v>475</v>
      </c>
      <c r="C7" s="8" t="s">
        <v>670</v>
      </c>
      <c r="D7" s="8">
        <v>0.123</v>
      </c>
      <c r="E7" s="8">
        <v>2.46</v>
      </c>
      <c r="F7" s="8" t="s">
        <v>659</v>
      </c>
      <c r="G7" s="8">
        <v>17</v>
      </c>
      <c r="H7">
        <f t="shared" si="0"/>
        <v>2.0910000000000002</v>
      </c>
      <c r="I7" t="s">
        <v>827</v>
      </c>
      <c r="L7" s="8" t="s">
        <v>827</v>
      </c>
      <c r="M7" s="8">
        <v>0.123</v>
      </c>
      <c r="N7" s="8"/>
      <c r="O7" s="8"/>
      <c r="P7" s="8">
        <v>17</v>
      </c>
      <c r="Q7" s="8" t="s">
        <v>803</v>
      </c>
      <c r="R7" s="8" t="s">
        <v>956</v>
      </c>
      <c r="S7" s="8" t="s">
        <v>957</v>
      </c>
      <c r="T7" s="8"/>
      <c r="U7" s="8"/>
      <c r="V7" s="8"/>
    </row>
    <row r="8" spans="1:22" x14ac:dyDescent="0.2">
      <c r="A8" s="8" t="s">
        <v>329</v>
      </c>
      <c r="B8" s="8" t="s">
        <v>482</v>
      </c>
      <c r="C8" s="8" t="s">
        <v>671</v>
      </c>
      <c r="D8" s="8">
        <v>0.11600000000000001</v>
      </c>
      <c r="E8" s="8">
        <v>2.3200000000000003</v>
      </c>
      <c r="F8" s="8" t="s">
        <v>659</v>
      </c>
      <c r="G8" s="8">
        <v>17</v>
      </c>
      <c r="H8">
        <f t="shared" si="0"/>
        <v>1.9720000000000002</v>
      </c>
      <c r="I8" t="s">
        <v>828</v>
      </c>
      <c r="L8" s="8" t="s">
        <v>828</v>
      </c>
      <c r="M8" s="8">
        <v>0.11600000000000001</v>
      </c>
      <c r="N8" s="8"/>
      <c r="O8" s="8"/>
      <c r="P8" s="8">
        <v>17</v>
      </c>
      <c r="Q8" s="8" t="s">
        <v>803</v>
      </c>
      <c r="R8" s="8" t="s">
        <v>956</v>
      </c>
      <c r="S8" s="8" t="s">
        <v>957</v>
      </c>
      <c r="T8" s="8"/>
      <c r="U8" s="8"/>
      <c r="V8" s="8"/>
    </row>
    <row r="9" spans="1:22" x14ac:dyDescent="0.2">
      <c r="A9" s="8" t="s">
        <v>41</v>
      </c>
      <c r="B9" s="8" t="s">
        <v>495</v>
      </c>
      <c r="C9" s="8" t="s">
        <v>672</v>
      </c>
      <c r="D9" s="8">
        <v>0.08</v>
      </c>
      <c r="E9" s="8">
        <v>1.6</v>
      </c>
      <c r="F9" s="8" t="s">
        <v>659</v>
      </c>
      <c r="G9" s="8">
        <v>17</v>
      </c>
      <c r="H9">
        <f t="shared" si="0"/>
        <v>1.36</v>
      </c>
      <c r="I9" t="s">
        <v>829</v>
      </c>
      <c r="L9" s="8" t="s">
        <v>829</v>
      </c>
      <c r="M9" s="8">
        <v>0.08</v>
      </c>
      <c r="N9" s="8"/>
      <c r="O9" s="8"/>
      <c r="P9" s="8">
        <v>17</v>
      </c>
      <c r="Q9" s="8" t="s">
        <v>803</v>
      </c>
      <c r="R9" s="8" t="s">
        <v>956</v>
      </c>
      <c r="S9" s="8" t="s">
        <v>957</v>
      </c>
      <c r="T9" s="8"/>
      <c r="U9" s="8"/>
      <c r="V9" s="8"/>
    </row>
    <row r="10" spans="1:22" x14ac:dyDescent="0.2">
      <c r="A10" s="8" t="s">
        <v>269</v>
      </c>
      <c r="B10" s="8" t="s">
        <v>476</v>
      </c>
      <c r="C10" s="8" t="s">
        <v>673</v>
      </c>
      <c r="D10" s="8">
        <v>0.14000000000000001</v>
      </c>
      <c r="E10" s="8">
        <v>2.8000000000000003</v>
      </c>
      <c r="F10" s="8" t="s">
        <v>659</v>
      </c>
      <c r="G10" s="8">
        <v>17</v>
      </c>
      <c r="H10">
        <f t="shared" si="0"/>
        <v>2.38</v>
      </c>
      <c r="I10" t="s">
        <v>830</v>
      </c>
      <c r="L10" s="8" t="s">
        <v>830</v>
      </c>
      <c r="M10" s="8">
        <v>0.14000000000000001</v>
      </c>
      <c r="N10" s="8"/>
      <c r="O10" s="8"/>
      <c r="P10" s="8">
        <v>17</v>
      </c>
      <c r="Q10" s="8" t="s">
        <v>803</v>
      </c>
      <c r="R10" s="8" t="s">
        <v>956</v>
      </c>
      <c r="S10" s="8" t="s">
        <v>957</v>
      </c>
      <c r="T10" s="8"/>
      <c r="U10" s="8"/>
      <c r="V10" s="8"/>
    </row>
    <row r="11" spans="1:22" x14ac:dyDescent="0.2">
      <c r="A11" s="8" t="s">
        <v>18</v>
      </c>
      <c r="B11" s="8" t="s">
        <v>489</v>
      </c>
      <c r="C11" s="8" t="s">
        <v>674</v>
      </c>
      <c r="D11" s="8">
        <v>0.127</v>
      </c>
      <c r="E11" s="8">
        <v>2.54</v>
      </c>
      <c r="F11" s="8" t="s">
        <v>659</v>
      </c>
      <c r="G11" s="8">
        <v>17</v>
      </c>
      <c r="H11">
        <f t="shared" si="0"/>
        <v>2.1589999999999998</v>
      </c>
      <c r="I11" t="s">
        <v>831</v>
      </c>
      <c r="L11" s="8" t="s">
        <v>831</v>
      </c>
      <c r="M11" s="8">
        <v>0.127</v>
      </c>
      <c r="N11" s="8"/>
      <c r="O11" s="8"/>
      <c r="P11" s="8">
        <v>17</v>
      </c>
      <c r="Q11" s="8" t="s">
        <v>803</v>
      </c>
      <c r="R11" s="8" t="s">
        <v>956</v>
      </c>
      <c r="S11" s="8" t="s">
        <v>957</v>
      </c>
      <c r="T11" s="8"/>
      <c r="U11" s="8"/>
      <c r="V11" s="8"/>
    </row>
    <row r="12" spans="1:22" x14ac:dyDescent="0.2">
      <c r="A12" s="8" t="s">
        <v>211</v>
      </c>
      <c r="B12" s="8" t="s">
        <v>490</v>
      </c>
      <c r="C12" s="8" t="s">
        <v>675</v>
      </c>
      <c r="D12" s="8">
        <v>0.14099999999999999</v>
      </c>
      <c r="E12" s="8">
        <v>2.82</v>
      </c>
      <c r="F12" s="8" t="s">
        <v>659</v>
      </c>
      <c r="G12" s="8">
        <v>17</v>
      </c>
      <c r="H12">
        <f t="shared" si="0"/>
        <v>2.3969999999999998</v>
      </c>
      <c r="I12" t="s">
        <v>832</v>
      </c>
      <c r="L12" s="8" t="s">
        <v>832</v>
      </c>
      <c r="M12" s="8">
        <v>0.14099999999999999</v>
      </c>
      <c r="N12" s="8"/>
      <c r="O12" s="8"/>
      <c r="P12" s="8">
        <v>17</v>
      </c>
      <c r="Q12" s="8" t="s">
        <v>803</v>
      </c>
      <c r="R12" s="8" t="s">
        <v>956</v>
      </c>
      <c r="S12" s="8" t="s">
        <v>957</v>
      </c>
      <c r="T12" s="8"/>
      <c r="U12" s="8"/>
      <c r="V12" s="8"/>
    </row>
    <row r="13" spans="1:22" x14ac:dyDescent="0.2">
      <c r="A13" s="8" t="s">
        <v>377</v>
      </c>
      <c r="B13" s="8" t="s">
        <v>479</v>
      </c>
      <c r="C13" s="8" t="s">
        <v>676</v>
      </c>
      <c r="D13" s="8">
        <v>0.111</v>
      </c>
      <c r="E13" s="8">
        <v>2.2200000000000002</v>
      </c>
      <c r="F13" s="8" t="s">
        <v>659</v>
      </c>
      <c r="G13" s="8">
        <v>17</v>
      </c>
      <c r="H13">
        <f t="shared" si="0"/>
        <v>1.887</v>
      </c>
      <c r="I13" t="s">
        <v>833</v>
      </c>
      <c r="L13" s="8" t="s">
        <v>833</v>
      </c>
      <c r="M13" s="8">
        <v>0.111</v>
      </c>
      <c r="N13" s="8"/>
      <c r="O13" s="8"/>
      <c r="P13" s="8">
        <v>17</v>
      </c>
      <c r="Q13" s="8" t="s">
        <v>803</v>
      </c>
      <c r="R13" s="8" t="s">
        <v>956</v>
      </c>
      <c r="S13" s="8" t="s">
        <v>957</v>
      </c>
      <c r="T13" s="8"/>
      <c r="U13" s="8"/>
      <c r="V13" s="8"/>
    </row>
    <row r="14" spans="1:22" x14ac:dyDescent="0.2">
      <c r="A14" s="8" t="s">
        <v>202</v>
      </c>
      <c r="B14" s="8" t="s">
        <v>494</v>
      </c>
      <c r="C14" s="8" t="s">
        <v>677</v>
      </c>
      <c r="D14" s="8">
        <v>0.151</v>
      </c>
      <c r="E14" s="8">
        <v>3.02</v>
      </c>
      <c r="F14" s="8" t="s">
        <v>659</v>
      </c>
      <c r="G14" s="8">
        <v>17</v>
      </c>
      <c r="H14">
        <f t="shared" si="0"/>
        <v>2.5670000000000002</v>
      </c>
      <c r="I14" t="s">
        <v>834</v>
      </c>
      <c r="L14" s="8" t="s">
        <v>834</v>
      </c>
      <c r="M14" s="8">
        <v>0.151</v>
      </c>
      <c r="N14" s="8"/>
      <c r="O14" s="8"/>
      <c r="P14" s="8">
        <v>17</v>
      </c>
      <c r="Q14" s="8" t="s">
        <v>803</v>
      </c>
      <c r="R14" s="8" t="s">
        <v>956</v>
      </c>
      <c r="S14" s="8" t="s">
        <v>957</v>
      </c>
      <c r="T14" s="8"/>
      <c r="U14" s="8"/>
      <c r="V14" s="8"/>
    </row>
    <row r="15" spans="1:22" x14ac:dyDescent="0.2">
      <c r="A15" s="8" t="s">
        <v>124</v>
      </c>
      <c r="B15" s="8" t="s">
        <v>487</v>
      </c>
      <c r="C15" s="8" t="s">
        <v>678</v>
      </c>
      <c r="D15" s="8">
        <v>0.20200000000000001</v>
      </c>
      <c r="E15" s="8">
        <v>4.04</v>
      </c>
      <c r="F15" s="8" t="s">
        <v>659</v>
      </c>
      <c r="G15" s="8">
        <v>17</v>
      </c>
      <c r="H15">
        <f t="shared" si="0"/>
        <v>3.4340000000000002</v>
      </c>
      <c r="I15" t="s">
        <v>835</v>
      </c>
      <c r="L15" s="8" t="s">
        <v>835</v>
      </c>
      <c r="M15" s="8">
        <v>0.20200000000000001</v>
      </c>
      <c r="N15" s="8"/>
      <c r="O15" s="8"/>
      <c r="P15" s="8">
        <v>17</v>
      </c>
      <c r="Q15" s="8" t="s">
        <v>803</v>
      </c>
      <c r="R15" s="8" t="s">
        <v>956</v>
      </c>
      <c r="S15" s="8" t="s">
        <v>957</v>
      </c>
      <c r="T15" s="8"/>
      <c r="U15" s="8"/>
      <c r="V15" s="8"/>
    </row>
    <row r="16" spans="1:22" x14ac:dyDescent="0.2">
      <c r="A16" s="8" t="s">
        <v>296</v>
      </c>
      <c r="B16" s="8" t="s">
        <v>480</v>
      </c>
      <c r="C16" s="8" t="s">
        <v>679</v>
      </c>
      <c r="D16" s="8">
        <v>0.124</v>
      </c>
      <c r="E16" s="8">
        <v>2.48</v>
      </c>
      <c r="F16" s="8" t="s">
        <v>659</v>
      </c>
      <c r="G16" s="8">
        <v>17</v>
      </c>
      <c r="H16">
        <f t="shared" si="0"/>
        <v>2.1079999999999997</v>
      </c>
      <c r="I16" t="s">
        <v>836</v>
      </c>
      <c r="L16" s="8" t="s">
        <v>836</v>
      </c>
      <c r="M16" s="8">
        <v>0.124</v>
      </c>
      <c r="N16" s="8"/>
      <c r="O16" s="8"/>
      <c r="P16" s="8">
        <v>17</v>
      </c>
      <c r="Q16" s="8" t="s">
        <v>803</v>
      </c>
      <c r="R16" s="8" t="s">
        <v>956</v>
      </c>
      <c r="S16" s="8" t="s">
        <v>957</v>
      </c>
      <c r="T16" s="8"/>
      <c r="U16" s="8"/>
      <c r="V16" s="8"/>
    </row>
    <row r="17" spans="1:22" x14ac:dyDescent="0.2">
      <c r="A17" s="8" t="s">
        <v>157</v>
      </c>
      <c r="B17" s="8" t="s">
        <v>488</v>
      </c>
      <c r="C17" s="8" t="s">
        <v>680</v>
      </c>
      <c r="D17" s="8">
        <v>0.14699999999999999</v>
      </c>
      <c r="E17" s="8">
        <v>2.94</v>
      </c>
      <c r="F17" s="8" t="s">
        <v>659</v>
      </c>
      <c r="G17" s="8">
        <v>17</v>
      </c>
      <c r="H17">
        <f t="shared" si="0"/>
        <v>2.4989999999999997</v>
      </c>
      <c r="I17" t="s">
        <v>837</v>
      </c>
      <c r="L17" s="8" t="s">
        <v>837</v>
      </c>
      <c r="M17" s="8">
        <v>0.14699999999999999</v>
      </c>
      <c r="N17" s="8"/>
      <c r="O17" s="8"/>
      <c r="P17" s="8">
        <v>17</v>
      </c>
      <c r="Q17" s="8" t="s">
        <v>803</v>
      </c>
      <c r="R17" s="8" t="s">
        <v>956</v>
      </c>
      <c r="S17" s="8" t="s">
        <v>957</v>
      </c>
      <c r="T17" s="8"/>
      <c r="U17" s="8"/>
      <c r="V17" s="8"/>
    </row>
    <row r="18" spans="1:22" x14ac:dyDescent="0.2">
      <c r="A18" s="8" t="s">
        <v>154</v>
      </c>
      <c r="B18" s="8" t="s">
        <v>486</v>
      </c>
      <c r="C18" s="8" t="s">
        <v>681</v>
      </c>
      <c r="D18" s="8">
        <v>0.13800000000000001</v>
      </c>
      <c r="E18" s="8">
        <v>2.7600000000000002</v>
      </c>
      <c r="F18" s="8" t="s">
        <v>659</v>
      </c>
      <c r="G18" s="8">
        <v>17</v>
      </c>
      <c r="H18">
        <f t="shared" si="0"/>
        <v>2.3460000000000001</v>
      </c>
      <c r="I18" t="s">
        <v>838</v>
      </c>
      <c r="L18" s="8" t="s">
        <v>838</v>
      </c>
      <c r="M18" s="8">
        <v>0.13800000000000001</v>
      </c>
      <c r="N18" s="8"/>
      <c r="O18" s="8"/>
      <c r="P18" s="8">
        <v>17</v>
      </c>
      <c r="Q18" s="8" t="s">
        <v>803</v>
      </c>
      <c r="R18" s="8" t="s">
        <v>956</v>
      </c>
      <c r="S18" s="8" t="s">
        <v>957</v>
      </c>
      <c r="T18" s="8"/>
      <c r="U18" s="8"/>
      <c r="V18" s="8"/>
    </row>
    <row r="19" spans="1:22" x14ac:dyDescent="0.2">
      <c r="A19" s="8" t="s">
        <v>344</v>
      </c>
      <c r="B19" s="8" t="s">
        <v>481</v>
      </c>
      <c r="C19" s="8" t="s">
        <v>682</v>
      </c>
      <c r="D19" s="8">
        <v>0.183</v>
      </c>
      <c r="E19" s="8">
        <v>3.66</v>
      </c>
      <c r="F19" s="8" t="s">
        <v>659</v>
      </c>
      <c r="G19" s="8">
        <v>17</v>
      </c>
      <c r="H19">
        <f t="shared" si="0"/>
        <v>3.1109999999999998</v>
      </c>
      <c r="I19" t="s">
        <v>839</v>
      </c>
      <c r="L19" s="8" t="s">
        <v>839</v>
      </c>
      <c r="M19" s="8">
        <v>0.183</v>
      </c>
      <c r="N19" s="8"/>
      <c r="O19" s="8"/>
      <c r="P19" s="8">
        <v>17</v>
      </c>
      <c r="Q19" s="8" t="s">
        <v>803</v>
      </c>
      <c r="R19" s="8" t="s">
        <v>956</v>
      </c>
      <c r="S19" s="8" t="s">
        <v>957</v>
      </c>
      <c r="T19" s="8"/>
      <c r="U19" s="8"/>
      <c r="V19" s="8"/>
    </row>
    <row r="20" spans="1:22" x14ac:dyDescent="0.2">
      <c r="A20" s="8" t="s">
        <v>356</v>
      </c>
      <c r="B20" s="8" t="s">
        <v>483</v>
      </c>
      <c r="C20" s="8" t="s">
        <v>683</v>
      </c>
      <c r="D20" s="8">
        <v>0.25700000000000001</v>
      </c>
      <c r="E20" s="8">
        <v>5.1400000000000006</v>
      </c>
      <c r="F20" s="8" t="s">
        <v>659</v>
      </c>
      <c r="G20" s="8">
        <v>17</v>
      </c>
      <c r="H20">
        <f t="shared" si="0"/>
        <v>4.3690000000000007</v>
      </c>
      <c r="I20" t="s">
        <v>840</v>
      </c>
      <c r="L20" s="8" t="s">
        <v>840</v>
      </c>
      <c r="M20" s="8">
        <v>0.25700000000000001</v>
      </c>
      <c r="N20" s="8"/>
      <c r="O20" s="8"/>
      <c r="P20" s="8">
        <v>17</v>
      </c>
      <c r="Q20" s="8" t="s">
        <v>803</v>
      </c>
      <c r="R20" s="8" t="s">
        <v>956</v>
      </c>
      <c r="S20" s="8" t="s">
        <v>957</v>
      </c>
      <c r="T20" s="8"/>
      <c r="U20" s="8"/>
      <c r="V20" s="8"/>
    </row>
    <row r="21" spans="1:22" x14ac:dyDescent="0.2">
      <c r="A21" s="8" t="s">
        <v>67</v>
      </c>
      <c r="B21" s="8" t="s">
        <v>533</v>
      </c>
      <c r="C21" s="8" t="s">
        <v>684</v>
      </c>
      <c r="D21" s="8">
        <v>0.128</v>
      </c>
      <c r="E21" s="8">
        <v>2.56</v>
      </c>
      <c r="F21" s="8" t="s">
        <v>659</v>
      </c>
      <c r="G21" s="8">
        <v>17</v>
      </c>
      <c r="H21">
        <f t="shared" si="0"/>
        <v>2.1760000000000002</v>
      </c>
      <c r="I21" t="s">
        <v>841</v>
      </c>
      <c r="L21" s="8" t="s">
        <v>841</v>
      </c>
      <c r="M21" s="8">
        <v>0.128</v>
      </c>
      <c r="N21" s="8"/>
      <c r="O21" s="8"/>
      <c r="P21" s="8">
        <v>17</v>
      </c>
      <c r="Q21" s="8" t="s">
        <v>803</v>
      </c>
      <c r="R21" s="8" t="s">
        <v>956</v>
      </c>
      <c r="S21" s="8" t="s">
        <v>957</v>
      </c>
      <c r="T21" s="8"/>
      <c r="U21" s="8"/>
      <c r="V21" s="8"/>
    </row>
    <row r="22" spans="1:22" x14ac:dyDescent="0.2">
      <c r="A22" s="8" t="s">
        <v>184</v>
      </c>
      <c r="B22" s="8" t="s">
        <v>534</v>
      </c>
      <c r="C22" s="8" t="s">
        <v>685</v>
      </c>
      <c r="D22" s="8">
        <v>6.13E-2</v>
      </c>
      <c r="E22" s="8">
        <v>1.226</v>
      </c>
      <c r="F22" s="8" t="s">
        <v>659</v>
      </c>
      <c r="G22" s="8">
        <v>17</v>
      </c>
      <c r="H22">
        <f t="shared" si="0"/>
        <v>1.0421</v>
      </c>
      <c r="I22" t="s">
        <v>842</v>
      </c>
      <c r="L22" s="8" t="s">
        <v>842</v>
      </c>
      <c r="M22" s="8">
        <v>6.13E-2</v>
      </c>
      <c r="N22" s="8"/>
      <c r="O22" s="8"/>
      <c r="P22" s="8">
        <v>17</v>
      </c>
      <c r="Q22" s="8" t="s">
        <v>803</v>
      </c>
      <c r="R22" s="8" t="s">
        <v>956</v>
      </c>
      <c r="S22" s="8" t="s">
        <v>957</v>
      </c>
      <c r="T22" s="8"/>
      <c r="U22" s="8"/>
      <c r="V22" s="8"/>
    </row>
    <row r="23" spans="1:22" x14ac:dyDescent="0.2">
      <c r="A23" s="8" t="s">
        <v>236</v>
      </c>
      <c r="B23" s="8" t="s">
        <v>597</v>
      </c>
      <c r="C23" s="8" t="s">
        <v>686</v>
      </c>
      <c r="D23" s="8">
        <v>0.114</v>
      </c>
      <c r="E23" s="8">
        <v>2.2800000000000002</v>
      </c>
      <c r="F23" s="8" t="s">
        <v>659</v>
      </c>
      <c r="G23" s="8">
        <v>17</v>
      </c>
      <c r="H23">
        <f t="shared" si="0"/>
        <v>1.9380000000000002</v>
      </c>
      <c r="I23" t="s">
        <v>843</v>
      </c>
      <c r="L23" s="8" t="s">
        <v>843</v>
      </c>
      <c r="M23" s="8">
        <v>0.114</v>
      </c>
      <c r="N23" s="8"/>
      <c r="O23" s="8"/>
      <c r="P23" s="8">
        <v>17</v>
      </c>
      <c r="Q23" s="8" t="s">
        <v>803</v>
      </c>
      <c r="R23" s="8" t="s">
        <v>956</v>
      </c>
      <c r="S23" s="8" t="s">
        <v>957</v>
      </c>
      <c r="T23" s="8"/>
      <c r="U23" s="8"/>
      <c r="V23" s="8"/>
    </row>
    <row r="24" spans="1:22" x14ac:dyDescent="0.2">
      <c r="A24" s="8" t="s">
        <v>302</v>
      </c>
      <c r="B24" s="8" t="s">
        <v>598</v>
      </c>
      <c r="C24" s="8" t="s">
        <v>687</v>
      </c>
      <c r="D24" s="8">
        <v>0.1</v>
      </c>
      <c r="E24" s="8">
        <v>2</v>
      </c>
      <c r="F24" s="8" t="s">
        <v>659</v>
      </c>
      <c r="G24" s="8">
        <v>17</v>
      </c>
      <c r="H24">
        <f t="shared" si="0"/>
        <v>1.7</v>
      </c>
      <c r="I24" t="s">
        <v>844</v>
      </c>
      <c r="L24" s="8" t="s">
        <v>844</v>
      </c>
      <c r="M24" s="8">
        <v>0.1</v>
      </c>
      <c r="N24" s="8"/>
      <c r="O24" s="8"/>
      <c r="P24" s="8">
        <v>17</v>
      </c>
      <c r="Q24" s="8" t="s">
        <v>803</v>
      </c>
      <c r="R24" s="8" t="s">
        <v>956</v>
      </c>
      <c r="S24" s="8" t="s">
        <v>957</v>
      </c>
      <c r="T24" s="8"/>
      <c r="U24" s="8"/>
      <c r="V24" s="8"/>
    </row>
    <row r="25" spans="1:22" x14ac:dyDescent="0.2">
      <c r="A25" s="8" t="s">
        <v>139</v>
      </c>
      <c r="B25" s="8" t="s">
        <v>535</v>
      </c>
      <c r="C25" s="8" t="s">
        <v>688</v>
      </c>
      <c r="D25" s="8">
        <v>0.154</v>
      </c>
      <c r="E25" s="8">
        <v>3.08</v>
      </c>
      <c r="F25" s="8" t="s">
        <v>659</v>
      </c>
      <c r="G25" s="8">
        <v>17</v>
      </c>
      <c r="H25">
        <f t="shared" si="0"/>
        <v>2.6179999999999999</v>
      </c>
      <c r="I25" t="s">
        <v>845</v>
      </c>
      <c r="L25" s="8" t="s">
        <v>845</v>
      </c>
      <c r="M25" s="8">
        <v>0.154</v>
      </c>
      <c r="N25" s="8"/>
      <c r="O25" s="8"/>
      <c r="P25" s="8">
        <v>17</v>
      </c>
      <c r="Q25" s="8" t="s">
        <v>803</v>
      </c>
      <c r="R25" s="8" t="s">
        <v>956</v>
      </c>
      <c r="S25" s="8" t="s">
        <v>957</v>
      </c>
      <c r="T25" s="8"/>
      <c r="U25" s="8"/>
      <c r="V25" s="8"/>
    </row>
    <row r="26" spans="1:22" x14ac:dyDescent="0.2">
      <c r="A26" s="8" t="s">
        <v>227</v>
      </c>
      <c r="B26" s="8" t="s">
        <v>599</v>
      </c>
      <c r="C26" s="8" t="s">
        <v>689</v>
      </c>
      <c r="D26" s="8">
        <v>0.14199999999999999</v>
      </c>
      <c r="E26" s="8">
        <v>2.84</v>
      </c>
      <c r="F26" s="8" t="s">
        <v>659</v>
      </c>
      <c r="G26" s="8">
        <v>17</v>
      </c>
      <c r="H26">
        <f t="shared" si="0"/>
        <v>2.4140000000000001</v>
      </c>
      <c r="I26" t="s">
        <v>846</v>
      </c>
      <c r="L26" s="8" t="s">
        <v>846</v>
      </c>
      <c r="M26" s="8">
        <v>0.14199999999999999</v>
      </c>
      <c r="N26" s="8"/>
      <c r="O26" s="8"/>
      <c r="P26" s="8">
        <v>17</v>
      </c>
      <c r="Q26" s="8" t="s">
        <v>803</v>
      </c>
      <c r="R26" s="8" t="s">
        <v>956</v>
      </c>
      <c r="S26" s="8" t="s">
        <v>957</v>
      </c>
      <c r="T26" s="8"/>
      <c r="U26" s="8"/>
      <c r="V26" s="8"/>
    </row>
    <row r="27" spans="1:22" x14ac:dyDescent="0.2">
      <c r="A27" s="8" t="s">
        <v>386</v>
      </c>
      <c r="B27" s="8" t="s">
        <v>600</v>
      </c>
      <c r="C27" s="8" t="s">
        <v>690</v>
      </c>
      <c r="D27" s="8">
        <v>0.14399999999999999</v>
      </c>
      <c r="E27" s="8">
        <v>2.88</v>
      </c>
      <c r="F27" s="8" t="s">
        <v>659</v>
      </c>
      <c r="G27" s="8">
        <v>17</v>
      </c>
      <c r="H27">
        <f t="shared" si="0"/>
        <v>2.448</v>
      </c>
      <c r="I27" t="s">
        <v>847</v>
      </c>
      <c r="L27" s="8" t="s">
        <v>847</v>
      </c>
      <c r="M27" s="8">
        <v>0.14399999999999999</v>
      </c>
      <c r="N27" s="8"/>
      <c r="O27" s="8"/>
      <c r="P27" s="8">
        <v>17</v>
      </c>
      <c r="Q27" s="8" t="s">
        <v>803</v>
      </c>
      <c r="R27" s="8" t="s">
        <v>956</v>
      </c>
      <c r="S27" s="8" t="s">
        <v>957</v>
      </c>
      <c r="T27" s="8"/>
      <c r="U27" s="8"/>
      <c r="V27" s="8"/>
    </row>
    <row r="28" spans="1:22" x14ac:dyDescent="0.2">
      <c r="A28" s="8" t="s">
        <v>57</v>
      </c>
      <c r="B28" s="8" t="s">
        <v>536</v>
      </c>
      <c r="C28" s="8" t="s">
        <v>691</v>
      </c>
      <c r="D28" s="8">
        <v>0.122</v>
      </c>
      <c r="E28" s="8">
        <v>2.44</v>
      </c>
      <c r="F28" s="8" t="s">
        <v>659</v>
      </c>
      <c r="G28" s="8">
        <v>17</v>
      </c>
      <c r="H28">
        <f t="shared" si="0"/>
        <v>2.0739999999999998</v>
      </c>
      <c r="I28" t="s">
        <v>848</v>
      </c>
      <c r="L28" s="8" t="s">
        <v>848</v>
      </c>
      <c r="M28" s="8">
        <v>0.122</v>
      </c>
      <c r="N28" s="8"/>
      <c r="O28" s="8"/>
      <c r="P28" s="8">
        <v>17</v>
      </c>
      <c r="Q28" s="8" t="s">
        <v>803</v>
      </c>
      <c r="R28" s="8" t="s">
        <v>956</v>
      </c>
      <c r="S28" s="8" t="s">
        <v>957</v>
      </c>
      <c r="T28" s="8"/>
      <c r="U28" s="8"/>
      <c r="V28" s="8"/>
    </row>
    <row r="29" spans="1:22" x14ac:dyDescent="0.2">
      <c r="A29" s="8" t="s">
        <v>374</v>
      </c>
      <c r="B29" s="8" t="s">
        <v>601</v>
      </c>
      <c r="C29" s="8" t="s">
        <v>692</v>
      </c>
      <c r="D29" s="8">
        <v>0.151</v>
      </c>
      <c r="E29" s="8">
        <v>3.02</v>
      </c>
      <c r="F29" s="8" t="s">
        <v>659</v>
      </c>
      <c r="G29" s="8">
        <v>17</v>
      </c>
      <c r="H29">
        <f t="shared" si="0"/>
        <v>2.5670000000000002</v>
      </c>
      <c r="I29" t="s">
        <v>849</v>
      </c>
      <c r="L29" s="8" t="s">
        <v>849</v>
      </c>
      <c r="M29" s="8">
        <v>0.151</v>
      </c>
      <c r="N29" s="8"/>
      <c r="O29" s="8"/>
      <c r="P29" s="8">
        <v>17</v>
      </c>
      <c r="Q29" s="8" t="s">
        <v>803</v>
      </c>
      <c r="R29" s="8" t="s">
        <v>956</v>
      </c>
      <c r="S29" s="8" t="s">
        <v>957</v>
      </c>
      <c r="T29" s="8"/>
      <c r="U29" s="8"/>
      <c r="V29" s="8"/>
    </row>
    <row r="30" spans="1:22" x14ac:dyDescent="0.2">
      <c r="A30" s="8" t="s">
        <v>39</v>
      </c>
      <c r="B30" s="8" t="s">
        <v>537</v>
      </c>
      <c r="C30" s="8" t="s">
        <v>693</v>
      </c>
      <c r="D30" s="8">
        <v>0.121</v>
      </c>
      <c r="E30" s="8">
        <v>2.42</v>
      </c>
      <c r="F30" s="8" t="s">
        <v>659</v>
      </c>
      <c r="G30" s="8">
        <v>17</v>
      </c>
      <c r="H30">
        <f t="shared" si="0"/>
        <v>2.0569999999999999</v>
      </c>
      <c r="I30" t="s">
        <v>850</v>
      </c>
      <c r="L30" s="8" t="s">
        <v>850</v>
      </c>
      <c r="M30" s="8">
        <v>0.121</v>
      </c>
      <c r="N30" s="8"/>
      <c r="O30" s="8"/>
      <c r="P30" s="8">
        <v>17</v>
      </c>
      <c r="Q30" s="8" t="s">
        <v>803</v>
      </c>
      <c r="R30" s="8" t="s">
        <v>956</v>
      </c>
      <c r="S30" s="8" t="s">
        <v>957</v>
      </c>
      <c r="T30" s="8"/>
      <c r="U30" s="8"/>
      <c r="V30" s="8"/>
    </row>
    <row r="31" spans="1:22" x14ac:dyDescent="0.2">
      <c r="A31" s="8" t="s">
        <v>51</v>
      </c>
      <c r="B31" s="8" t="s">
        <v>538</v>
      </c>
      <c r="C31" s="8" t="s">
        <v>694</v>
      </c>
      <c r="D31" s="8">
        <v>0.221</v>
      </c>
      <c r="E31" s="8">
        <v>4.42</v>
      </c>
      <c r="F31" s="8" t="s">
        <v>659</v>
      </c>
      <c r="G31" s="8">
        <v>17</v>
      </c>
      <c r="H31">
        <f t="shared" si="0"/>
        <v>3.7570000000000001</v>
      </c>
      <c r="I31" t="s">
        <v>851</v>
      </c>
      <c r="L31" s="8" t="s">
        <v>851</v>
      </c>
      <c r="M31" s="8">
        <v>0.221</v>
      </c>
      <c r="N31" s="8"/>
      <c r="O31" s="8"/>
      <c r="P31" s="8">
        <v>17</v>
      </c>
      <c r="Q31" s="8" t="s">
        <v>803</v>
      </c>
      <c r="R31" s="8" t="s">
        <v>956</v>
      </c>
      <c r="S31" s="8" t="s">
        <v>957</v>
      </c>
      <c r="T31" s="8"/>
      <c r="U31" s="8"/>
      <c r="V31" s="8"/>
    </row>
    <row r="32" spans="1:22" x14ac:dyDescent="0.2">
      <c r="A32" s="8" t="s">
        <v>103</v>
      </c>
      <c r="B32" s="8" t="s">
        <v>539</v>
      </c>
      <c r="C32" s="8" t="s">
        <v>695</v>
      </c>
      <c r="D32" s="8">
        <v>0.11700000000000001</v>
      </c>
      <c r="E32" s="8">
        <v>2.3400000000000003</v>
      </c>
      <c r="F32" s="8" t="s">
        <v>659</v>
      </c>
      <c r="G32" s="8">
        <v>17</v>
      </c>
      <c r="H32">
        <f t="shared" si="0"/>
        <v>1.9890000000000003</v>
      </c>
      <c r="I32" t="s">
        <v>852</v>
      </c>
      <c r="L32" s="8" t="s">
        <v>852</v>
      </c>
      <c r="M32" s="8">
        <v>0.11700000000000001</v>
      </c>
      <c r="N32" s="8"/>
      <c r="O32" s="8"/>
      <c r="P32" s="8">
        <v>17</v>
      </c>
      <c r="Q32" s="8" t="s">
        <v>803</v>
      </c>
      <c r="R32" s="8" t="s">
        <v>956</v>
      </c>
      <c r="S32" s="8" t="s">
        <v>957</v>
      </c>
      <c r="T32" s="8"/>
      <c r="U32" s="8"/>
      <c r="V32" s="8"/>
    </row>
    <row r="33" spans="1:22" x14ac:dyDescent="0.2">
      <c r="A33" s="8" t="s">
        <v>151</v>
      </c>
      <c r="B33" s="8" t="s">
        <v>540</v>
      </c>
      <c r="C33" s="8" t="s">
        <v>696</v>
      </c>
      <c r="D33" s="8">
        <v>0.126</v>
      </c>
      <c r="E33" s="8">
        <v>2.52</v>
      </c>
      <c r="F33" s="8" t="s">
        <v>659</v>
      </c>
      <c r="G33" s="8">
        <v>17</v>
      </c>
      <c r="H33">
        <f t="shared" si="0"/>
        <v>2.1420000000000003</v>
      </c>
      <c r="I33" t="s">
        <v>853</v>
      </c>
      <c r="L33" s="8" t="s">
        <v>853</v>
      </c>
      <c r="M33" s="8">
        <v>0.126</v>
      </c>
      <c r="N33" s="8"/>
      <c r="O33" s="8"/>
      <c r="P33" s="8">
        <v>17</v>
      </c>
      <c r="Q33" s="8" t="s">
        <v>803</v>
      </c>
      <c r="R33" s="8" t="s">
        <v>956</v>
      </c>
      <c r="S33" s="8" t="s">
        <v>957</v>
      </c>
      <c r="T33" s="8"/>
      <c r="U33" s="8"/>
      <c r="V33" s="8"/>
    </row>
    <row r="34" spans="1:22" x14ac:dyDescent="0.2">
      <c r="A34" s="8" t="s">
        <v>115</v>
      </c>
      <c r="B34" s="8" t="s">
        <v>541</v>
      </c>
      <c r="C34" s="8" t="s">
        <v>697</v>
      </c>
      <c r="D34" s="8">
        <v>0.186</v>
      </c>
      <c r="E34" s="8">
        <v>3.7199999999999998</v>
      </c>
      <c r="F34" s="8" t="s">
        <v>659</v>
      </c>
      <c r="G34" s="8">
        <v>17</v>
      </c>
      <c r="H34">
        <f t="shared" ref="H34:H65" si="1">E34*17/20</f>
        <v>3.1619999999999999</v>
      </c>
      <c r="I34" t="s">
        <v>854</v>
      </c>
      <c r="L34" s="8" t="s">
        <v>854</v>
      </c>
      <c r="M34" s="8">
        <v>0.186</v>
      </c>
      <c r="N34" s="8"/>
      <c r="O34" s="8"/>
      <c r="P34" s="8">
        <v>17</v>
      </c>
      <c r="Q34" s="8" t="s">
        <v>803</v>
      </c>
      <c r="R34" s="8" t="s">
        <v>956</v>
      </c>
      <c r="S34" s="8" t="s">
        <v>957</v>
      </c>
      <c r="T34" s="8"/>
      <c r="U34" s="8"/>
      <c r="V34" s="8"/>
    </row>
    <row r="35" spans="1:22" x14ac:dyDescent="0.2">
      <c r="A35" s="8" t="s">
        <v>239</v>
      </c>
      <c r="B35" s="8" t="s">
        <v>602</v>
      </c>
      <c r="C35" s="8" t="s">
        <v>698</v>
      </c>
      <c r="D35" s="8">
        <v>0.20499999999999999</v>
      </c>
      <c r="E35" s="8">
        <v>4.0999999999999996</v>
      </c>
      <c r="F35" s="8" t="s">
        <v>659</v>
      </c>
      <c r="G35" s="8">
        <v>17</v>
      </c>
      <c r="H35">
        <f t="shared" si="1"/>
        <v>3.4849999999999994</v>
      </c>
      <c r="I35" t="s">
        <v>855</v>
      </c>
      <c r="L35" s="8" t="s">
        <v>855</v>
      </c>
      <c r="M35" s="8">
        <v>0.20499999999999999</v>
      </c>
      <c r="N35" s="8"/>
      <c r="O35" s="8"/>
      <c r="P35" s="8">
        <v>17</v>
      </c>
      <c r="Q35" s="8" t="s">
        <v>803</v>
      </c>
      <c r="R35" s="8" t="s">
        <v>956</v>
      </c>
      <c r="S35" s="8" t="s">
        <v>957</v>
      </c>
      <c r="T35" s="8"/>
      <c r="U35" s="8"/>
      <c r="V35" s="8"/>
    </row>
    <row r="36" spans="1:22" x14ac:dyDescent="0.2">
      <c r="A36" s="8" t="s">
        <v>65</v>
      </c>
      <c r="B36" s="8" t="s">
        <v>542</v>
      </c>
      <c r="C36" s="8" t="s">
        <v>699</v>
      </c>
      <c r="D36" s="8">
        <v>0.188</v>
      </c>
      <c r="E36" s="8">
        <v>3.76</v>
      </c>
      <c r="F36" s="8" t="s">
        <v>659</v>
      </c>
      <c r="G36" s="8">
        <v>17</v>
      </c>
      <c r="H36">
        <f t="shared" si="1"/>
        <v>3.1959999999999997</v>
      </c>
      <c r="I36" t="s">
        <v>856</v>
      </c>
      <c r="L36" s="8" t="s">
        <v>856</v>
      </c>
      <c r="M36" s="8">
        <v>0.188</v>
      </c>
      <c r="N36" s="8"/>
      <c r="O36" s="8"/>
      <c r="P36" s="8">
        <v>17</v>
      </c>
      <c r="Q36" s="8" t="s">
        <v>803</v>
      </c>
      <c r="R36" s="8" t="s">
        <v>956</v>
      </c>
      <c r="S36" s="8" t="s">
        <v>957</v>
      </c>
      <c r="T36" s="8"/>
      <c r="U36" s="8"/>
      <c r="V36" s="8"/>
    </row>
    <row r="37" spans="1:22" x14ac:dyDescent="0.2">
      <c r="A37" s="8" t="s">
        <v>181</v>
      </c>
      <c r="B37" s="8" t="s">
        <v>543</v>
      </c>
      <c r="C37" s="8" t="s">
        <v>700</v>
      </c>
      <c r="D37" s="8">
        <v>0.20699999999999999</v>
      </c>
      <c r="E37" s="8">
        <v>4.1399999999999997</v>
      </c>
      <c r="F37" s="8" t="s">
        <v>659</v>
      </c>
      <c r="G37" s="8">
        <v>17</v>
      </c>
      <c r="H37">
        <f t="shared" si="1"/>
        <v>3.5189999999999997</v>
      </c>
      <c r="I37" t="s">
        <v>857</v>
      </c>
      <c r="L37" s="8" t="s">
        <v>857</v>
      </c>
      <c r="M37" s="8">
        <v>0.20699999999999999</v>
      </c>
      <c r="N37" s="8"/>
      <c r="O37" s="8"/>
      <c r="P37" s="8">
        <v>17</v>
      </c>
      <c r="Q37" s="8" t="s">
        <v>803</v>
      </c>
      <c r="R37" s="8" t="s">
        <v>956</v>
      </c>
      <c r="S37" s="8" t="s">
        <v>957</v>
      </c>
      <c r="T37" s="8"/>
      <c r="U37" s="8"/>
      <c r="V37" s="8"/>
    </row>
    <row r="38" spans="1:22" x14ac:dyDescent="0.2">
      <c r="A38" s="8" t="s">
        <v>61</v>
      </c>
      <c r="B38" s="8" t="s">
        <v>544</v>
      </c>
      <c r="C38" s="8" t="s">
        <v>701</v>
      </c>
      <c r="D38" s="8">
        <v>0.22800000000000001</v>
      </c>
      <c r="E38" s="8">
        <v>4.5600000000000005</v>
      </c>
      <c r="F38" s="8" t="s">
        <v>659</v>
      </c>
      <c r="G38" s="8">
        <v>17</v>
      </c>
      <c r="H38">
        <f t="shared" si="1"/>
        <v>3.8760000000000003</v>
      </c>
      <c r="I38" t="s">
        <v>858</v>
      </c>
      <c r="L38" s="8" t="s">
        <v>858</v>
      </c>
      <c r="M38" s="8">
        <v>0.22800000000000001</v>
      </c>
      <c r="N38" s="8"/>
      <c r="O38" s="8"/>
      <c r="P38" s="8">
        <v>17</v>
      </c>
      <c r="Q38" s="8" t="s">
        <v>803</v>
      </c>
      <c r="R38" s="8" t="s">
        <v>956</v>
      </c>
      <c r="S38" s="8" t="s">
        <v>957</v>
      </c>
      <c r="T38" s="8"/>
      <c r="U38" s="8"/>
      <c r="V38" s="8"/>
    </row>
    <row r="39" spans="1:22" x14ac:dyDescent="0.2">
      <c r="A39" s="8" t="s">
        <v>281</v>
      </c>
      <c r="B39" s="8" t="s">
        <v>603</v>
      </c>
      <c r="C39" s="8" t="s">
        <v>702</v>
      </c>
      <c r="D39" s="8">
        <v>0.28699999999999998</v>
      </c>
      <c r="E39" s="8">
        <v>5.7399999999999993</v>
      </c>
      <c r="F39" s="8" t="s">
        <v>659</v>
      </c>
      <c r="G39" s="8">
        <v>17</v>
      </c>
      <c r="H39">
        <f t="shared" si="1"/>
        <v>4.8789999999999996</v>
      </c>
      <c r="I39" t="s">
        <v>859</v>
      </c>
      <c r="L39" s="8" t="s">
        <v>859</v>
      </c>
      <c r="M39" s="8">
        <v>0.28699999999999998</v>
      </c>
      <c r="N39" s="8"/>
      <c r="O39" s="8"/>
      <c r="P39" s="8">
        <v>17</v>
      </c>
      <c r="Q39" s="8" t="s">
        <v>803</v>
      </c>
      <c r="R39" s="8" t="s">
        <v>956</v>
      </c>
      <c r="S39" s="8" t="s">
        <v>957</v>
      </c>
      <c r="T39" s="8"/>
      <c r="U39" s="8"/>
      <c r="V39" s="8"/>
    </row>
    <row r="40" spans="1:22" x14ac:dyDescent="0.2">
      <c r="A40" s="8" t="s">
        <v>341</v>
      </c>
      <c r="B40" s="8" t="s">
        <v>604</v>
      </c>
      <c r="C40" s="8" t="s">
        <v>703</v>
      </c>
      <c r="D40" s="8">
        <v>0.25900000000000001</v>
      </c>
      <c r="E40" s="8">
        <v>5.18</v>
      </c>
      <c r="F40" s="8" t="s">
        <v>659</v>
      </c>
      <c r="G40" s="8">
        <v>17</v>
      </c>
      <c r="H40">
        <f t="shared" si="1"/>
        <v>4.4030000000000005</v>
      </c>
      <c r="I40" t="s">
        <v>860</v>
      </c>
      <c r="L40" s="8" t="s">
        <v>860</v>
      </c>
      <c r="M40" s="8">
        <v>0.25900000000000001</v>
      </c>
      <c r="N40" s="8"/>
      <c r="O40" s="8"/>
      <c r="P40" s="8">
        <v>17</v>
      </c>
      <c r="Q40" s="8" t="s">
        <v>803</v>
      </c>
      <c r="R40" s="8" t="s">
        <v>956</v>
      </c>
      <c r="S40" s="8" t="s">
        <v>957</v>
      </c>
      <c r="T40" s="8"/>
      <c r="U40" s="8"/>
      <c r="V40" s="8"/>
    </row>
    <row r="41" spans="1:22" x14ac:dyDescent="0.2">
      <c r="A41" s="8" t="s">
        <v>230</v>
      </c>
      <c r="B41" s="8" t="s">
        <v>605</v>
      </c>
      <c r="C41" s="8" t="s">
        <v>704</v>
      </c>
      <c r="D41" s="8">
        <v>0.29499999999999998</v>
      </c>
      <c r="E41" s="8">
        <v>5.8999999999999995</v>
      </c>
      <c r="F41" s="8" t="s">
        <v>659</v>
      </c>
      <c r="G41" s="8">
        <v>17</v>
      </c>
      <c r="H41">
        <f t="shared" si="1"/>
        <v>5.0149999999999997</v>
      </c>
      <c r="I41" t="s">
        <v>861</v>
      </c>
      <c r="L41" s="8" t="s">
        <v>861</v>
      </c>
      <c r="M41" s="8">
        <v>0.29499999999999998</v>
      </c>
      <c r="N41" s="8"/>
      <c r="O41" s="8"/>
      <c r="P41" s="8">
        <v>17</v>
      </c>
      <c r="Q41" s="8" t="s">
        <v>803</v>
      </c>
      <c r="R41" s="8" t="s">
        <v>956</v>
      </c>
      <c r="S41" s="8" t="s">
        <v>957</v>
      </c>
      <c r="T41" s="8"/>
      <c r="U41" s="8"/>
      <c r="V41" s="8"/>
    </row>
    <row r="42" spans="1:22" x14ac:dyDescent="0.2">
      <c r="A42" s="8" t="s">
        <v>263</v>
      </c>
      <c r="B42" s="8" t="s">
        <v>606</v>
      </c>
      <c r="C42" s="8" t="s">
        <v>705</v>
      </c>
      <c r="D42" s="8">
        <v>0.27900000000000003</v>
      </c>
      <c r="E42" s="8">
        <v>5.58</v>
      </c>
      <c r="F42" s="8" t="s">
        <v>659</v>
      </c>
      <c r="G42" s="8">
        <v>17</v>
      </c>
      <c r="H42">
        <f t="shared" si="1"/>
        <v>4.7430000000000003</v>
      </c>
      <c r="I42" t="s">
        <v>862</v>
      </c>
      <c r="L42" s="8" t="s">
        <v>862</v>
      </c>
      <c r="M42" s="8">
        <v>0.27900000000000003</v>
      </c>
      <c r="N42" s="8"/>
      <c r="O42" s="8"/>
      <c r="P42" s="8">
        <v>17</v>
      </c>
      <c r="Q42" s="8" t="s">
        <v>803</v>
      </c>
      <c r="R42" s="8" t="s">
        <v>956</v>
      </c>
      <c r="S42" s="8" t="s">
        <v>957</v>
      </c>
      <c r="T42" s="8"/>
      <c r="U42" s="8"/>
      <c r="V42" s="8"/>
    </row>
    <row r="43" spans="1:22" x14ac:dyDescent="0.2">
      <c r="A43" s="8" t="s">
        <v>80</v>
      </c>
      <c r="B43" s="8" t="s">
        <v>545</v>
      </c>
      <c r="C43" s="8" t="s">
        <v>706</v>
      </c>
      <c r="D43" s="8">
        <v>0.34</v>
      </c>
      <c r="E43" s="8">
        <v>6.8000000000000007</v>
      </c>
      <c r="F43" s="8" t="s">
        <v>659</v>
      </c>
      <c r="G43" s="8">
        <v>17</v>
      </c>
      <c r="H43">
        <f t="shared" si="1"/>
        <v>5.78</v>
      </c>
      <c r="I43" t="s">
        <v>863</v>
      </c>
      <c r="L43" s="8" t="s">
        <v>863</v>
      </c>
      <c r="M43" s="8">
        <v>0.34</v>
      </c>
      <c r="N43" s="8"/>
      <c r="O43" s="8"/>
      <c r="P43" s="8">
        <v>17</v>
      </c>
      <c r="Q43" s="8" t="s">
        <v>803</v>
      </c>
      <c r="R43" s="8" t="s">
        <v>956</v>
      </c>
      <c r="S43" s="8" t="s">
        <v>957</v>
      </c>
      <c r="T43" s="8"/>
      <c r="U43" s="8"/>
      <c r="V43" s="8"/>
    </row>
    <row r="44" spans="1:22" x14ac:dyDescent="0.2">
      <c r="A44" s="8" t="s">
        <v>205</v>
      </c>
      <c r="B44" s="8" t="s">
        <v>546</v>
      </c>
      <c r="C44" s="8" t="s">
        <v>707</v>
      </c>
      <c r="D44" s="8">
        <v>0.17799999999999999</v>
      </c>
      <c r="E44" s="8">
        <v>3.5599999999999996</v>
      </c>
      <c r="F44" s="8" t="s">
        <v>659</v>
      </c>
      <c r="G44" s="8">
        <v>17</v>
      </c>
      <c r="H44">
        <f t="shared" si="1"/>
        <v>3.0259999999999998</v>
      </c>
      <c r="I44" t="s">
        <v>864</v>
      </c>
      <c r="L44" s="8" t="s">
        <v>864</v>
      </c>
      <c r="M44" s="8">
        <v>0.17799999999999999</v>
      </c>
      <c r="N44" s="8"/>
      <c r="O44" s="8"/>
      <c r="P44" s="8">
        <v>17</v>
      </c>
      <c r="Q44" s="8" t="s">
        <v>803</v>
      </c>
      <c r="R44" s="8" t="s">
        <v>956</v>
      </c>
      <c r="S44" s="8" t="s">
        <v>957</v>
      </c>
      <c r="T44" s="8"/>
      <c r="U44" s="8"/>
      <c r="V44" s="8"/>
    </row>
    <row r="45" spans="1:22" x14ac:dyDescent="0.2">
      <c r="A45" s="8" t="s">
        <v>257</v>
      </c>
      <c r="B45" s="8" t="s">
        <v>607</v>
      </c>
      <c r="C45" s="8" t="s">
        <v>708</v>
      </c>
      <c r="D45" s="8">
        <v>0.121</v>
      </c>
      <c r="E45" s="8">
        <v>2.42</v>
      </c>
      <c r="F45" s="8" t="s">
        <v>659</v>
      </c>
      <c r="G45" s="8">
        <v>17</v>
      </c>
      <c r="H45">
        <f t="shared" si="1"/>
        <v>2.0569999999999999</v>
      </c>
      <c r="I45" t="s">
        <v>865</v>
      </c>
      <c r="L45" s="8" t="s">
        <v>865</v>
      </c>
      <c r="M45" s="8">
        <v>0.121</v>
      </c>
      <c r="N45" s="8"/>
      <c r="O45" s="8"/>
      <c r="P45" s="8">
        <v>17</v>
      </c>
      <c r="Q45" s="8" t="s">
        <v>803</v>
      </c>
      <c r="R45" s="8" t="s">
        <v>956</v>
      </c>
      <c r="S45" s="8" t="s">
        <v>957</v>
      </c>
      <c r="T45" s="8"/>
      <c r="U45" s="8"/>
      <c r="V45" s="8"/>
    </row>
    <row r="46" spans="1:22" x14ac:dyDescent="0.2">
      <c r="A46" s="8" t="s">
        <v>371</v>
      </c>
      <c r="B46" s="8" t="s">
        <v>608</v>
      </c>
      <c r="C46" s="8" t="s">
        <v>709</v>
      </c>
      <c r="D46" s="8">
        <v>0.124</v>
      </c>
      <c r="E46" s="8">
        <v>2.48</v>
      </c>
      <c r="F46" s="8" t="s">
        <v>659</v>
      </c>
      <c r="G46" s="8">
        <v>17</v>
      </c>
      <c r="H46">
        <f t="shared" si="1"/>
        <v>2.1079999999999997</v>
      </c>
      <c r="I46" t="s">
        <v>866</v>
      </c>
      <c r="L46" s="8" t="s">
        <v>866</v>
      </c>
      <c r="M46" s="8">
        <v>0.124</v>
      </c>
      <c r="N46" s="8"/>
      <c r="O46" s="8"/>
      <c r="P46" s="8">
        <v>17</v>
      </c>
      <c r="Q46" s="8" t="s">
        <v>803</v>
      </c>
      <c r="R46" s="8" t="s">
        <v>956</v>
      </c>
      <c r="S46" s="8" t="s">
        <v>957</v>
      </c>
      <c r="T46" s="8"/>
      <c r="U46" s="8"/>
      <c r="V46" s="8"/>
    </row>
    <row r="47" spans="1:22" x14ac:dyDescent="0.2">
      <c r="A47" s="8" t="s">
        <v>248</v>
      </c>
      <c r="B47" s="8" t="s">
        <v>609</v>
      </c>
      <c r="C47" s="8" t="s">
        <v>710</v>
      </c>
      <c r="D47" s="8">
        <v>0.13900000000000001</v>
      </c>
      <c r="E47" s="8">
        <v>2.7800000000000002</v>
      </c>
      <c r="F47" s="8" t="s">
        <v>659</v>
      </c>
      <c r="G47" s="8">
        <v>17</v>
      </c>
      <c r="H47">
        <f t="shared" si="1"/>
        <v>2.3630000000000004</v>
      </c>
      <c r="I47" t="s">
        <v>867</v>
      </c>
      <c r="L47" s="8" t="s">
        <v>867</v>
      </c>
      <c r="M47" s="8">
        <v>0.13900000000000001</v>
      </c>
      <c r="N47" s="8"/>
      <c r="O47" s="8"/>
      <c r="P47" s="8">
        <v>17</v>
      </c>
      <c r="Q47" s="8" t="s">
        <v>803</v>
      </c>
      <c r="R47" s="8" t="s">
        <v>956</v>
      </c>
      <c r="S47" s="8" t="s">
        <v>957</v>
      </c>
      <c r="T47" s="8"/>
      <c r="U47" s="8"/>
      <c r="V47" s="8"/>
    </row>
    <row r="48" spans="1:22" x14ac:dyDescent="0.2">
      <c r="A48" s="8" t="s">
        <v>121</v>
      </c>
      <c r="B48" s="8" t="s">
        <v>547</v>
      </c>
      <c r="C48" s="8" t="s">
        <v>711</v>
      </c>
      <c r="D48" s="8">
        <v>0.16800000000000001</v>
      </c>
      <c r="E48" s="8">
        <v>3.3600000000000003</v>
      </c>
      <c r="F48" s="8" t="s">
        <v>659</v>
      </c>
      <c r="G48" s="8">
        <v>17</v>
      </c>
      <c r="H48">
        <f t="shared" si="1"/>
        <v>2.8560000000000003</v>
      </c>
      <c r="I48" t="s">
        <v>868</v>
      </c>
      <c r="L48" s="8" t="s">
        <v>868</v>
      </c>
      <c r="M48" s="8">
        <v>0.16800000000000001</v>
      </c>
      <c r="N48" s="8"/>
      <c r="O48" s="8"/>
      <c r="P48" s="8">
        <v>17</v>
      </c>
      <c r="Q48" s="8" t="s">
        <v>803</v>
      </c>
      <c r="R48" s="8" t="s">
        <v>956</v>
      </c>
      <c r="S48" s="8" t="s">
        <v>957</v>
      </c>
      <c r="T48" s="8"/>
      <c r="U48" s="8"/>
      <c r="V48" s="8"/>
    </row>
    <row r="49" spans="1:22" x14ac:dyDescent="0.2">
      <c r="A49" s="8" t="s">
        <v>178</v>
      </c>
      <c r="B49" s="8" t="s">
        <v>548</v>
      </c>
      <c r="C49" s="8" t="s">
        <v>712</v>
      </c>
      <c r="D49" s="8">
        <v>0.156</v>
      </c>
      <c r="E49" s="8">
        <v>3.12</v>
      </c>
      <c r="F49" s="8" t="s">
        <v>659</v>
      </c>
      <c r="G49" s="8">
        <v>17</v>
      </c>
      <c r="H49">
        <f t="shared" si="1"/>
        <v>2.6520000000000001</v>
      </c>
      <c r="I49" t="s">
        <v>869</v>
      </c>
      <c r="L49" s="8" t="s">
        <v>869</v>
      </c>
      <c r="M49" s="8">
        <v>0.156</v>
      </c>
      <c r="N49" s="8"/>
      <c r="O49" s="8"/>
      <c r="P49" s="8">
        <v>17</v>
      </c>
      <c r="Q49" s="8" t="s">
        <v>803</v>
      </c>
      <c r="R49" s="8" t="s">
        <v>956</v>
      </c>
      <c r="S49" s="8" t="s">
        <v>957</v>
      </c>
      <c r="T49" s="8"/>
      <c r="U49" s="8"/>
      <c r="V49" s="8"/>
    </row>
    <row r="50" spans="1:22" x14ac:dyDescent="0.2">
      <c r="A50" s="8" t="s">
        <v>383</v>
      </c>
      <c r="B50" s="8" t="s">
        <v>610</v>
      </c>
      <c r="C50" s="8" t="s">
        <v>713</v>
      </c>
      <c r="D50" s="8">
        <v>0.14499999999999999</v>
      </c>
      <c r="E50" s="8">
        <v>2.9</v>
      </c>
      <c r="F50" s="8" t="s">
        <v>659</v>
      </c>
      <c r="G50" s="8">
        <v>17</v>
      </c>
      <c r="H50">
        <f t="shared" si="1"/>
        <v>2.4649999999999999</v>
      </c>
      <c r="I50" t="s">
        <v>870</v>
      </c>
      <c r="L50" s="8" t="s">
        <v>870</v>
      </c>
      <c r="M50" s="8">
        <v>0.14499999999999999</v>
      </c>
      <c r="N50" s="8"/>
      <c r="O50" s="8"/>
      <c r="P50" s="8">
        <v>17</v>
      </c>
      <c r="Q50" s="8" t="s">
        <v>803</v>
      </c>
      <c r="R50" s="8" t="s">
        <v>956</v>
      </c>
      <c r="S50" s="8" t="s">
        <v>957</v>
      </c>
      <c r="T50" s="8"/>
      <c r="U50" s="8"/>
      <c r="V50" s="8"/>
    </row>
    <row r="51" spans="1:22" x14ac:dyDescent="0.2">
      <c r="A51" s="8" t="s">
        <v>142</v>
      </c>
      <c r="B51" s="8" t="s">
        <v>549</v>
      </c>
      <c r="C51" s="8" t="s">
        <v>714</v>
      </c>
      <c r="D51" s="8">
        <v>0.157</v>
      </c>
      <c r="E51" s="8">
        <v>3.14</v>
      </c>
      <c r="F51" s="8" t="s">
        <v>659</v>
      </c>
      <c r="G51" s="8">
        <v>17</v>
      </c>
      <c r="H51">
        <f t="shared" si="1"/>
        <v>2.669</v>
      </c>
      <c r="I51" t="s">
        <v>871</v>
      </c>
      <c r="L51" s="8" t="s">
        <v>871</v>
      </c>
      <c r="M51" s="8">
        <v>0.157</v>
      </c>
      <c r="N51" s="8"/>
      <c r="O51" s="8"/>
      <c r="P51" s="8">
        <v>17</v>
      </c>
      <c r="Q51" s="8" t="s">
        <v>803</v>
      </c>
      <c r="R51" s="8" t="s">
        <v>956</v>
      </c>
      <c r="S51" s="8" t="s">
        <v>957</v>
      </c>
      <c r="T51" s="8"/>
      <c r="U51" s="8"/>
      <c r="V51" s="8"/>
    </row>
    <row r="52" spans="1:22" x14ac:dyDescent="0.2">
      <c r="A52" s="8" t="s">
        <v>69</v>
      </c>
      <c r="B52" s="8" t="s">
        <v>550</v>
      </c>
      <c r="C52" s="8" t="s">
        <v>715</v>
      </c>
      <c r="D52" s="8">
        <v>0.10100000000000001</v>
      </c>
      <c r="E52" s="8">
        <v>2.02</v>
      </c>
      <c r="F52" s="8" t="s">
        <v>659</v>
      </c>
      <c r="G52" s="8">
        <v>17</v>
      </c>
      <c r="H52">
        <f t="shared" si="1"/>
        <v>1.7170000000000001</v>
      </c>
      <c r="I52" t="s">
        <v>872</v>
      </c>
      <c r="L52" s="8" t="s">
        <v>872</v>
      </c>
      <c r="M52" s="8">
        <v>0.10100000000000001</v>
      </c>
      <c r="N52" s="8"/>
      <c r="O52" s="8"/>
      <c r="P52" s="8">
        <v>17</v>
      </c>
      <c r="Q52" s="8" t="s">
        <v>803</v>
      </c>
      <c r="R52" s="8" t="s">
        <v>956</v>
      </c>
      <c r="S52" s="8" t="s">
        <v>957</v>
      </c>
      <c r="T52" s="8"/>
      <c r="U52" s="8"/>
      <c r="V52" s="8"/>
    </row>
    <row r="53" spans="1:22" x14ac:dyDescent="0.2">
      <c r="A53" s="8" t="s">
        <v>133</v>
      </c>
      <c r="B53" s="8" t="s">
        <v>552</v>
      </c>
      <c r="C53" s="8" t="s">
        <v>716</v>
      </c>
      <c r="D53" s="8">
        <v>0.14899999999999999</v>
      </c>
      <c r="E53" s="8">
        <v>2.98</v>
      </c>
      <c r="F53" s="8" t="s">
        <v>659</v>
      </c>
      <c r="G53" s="8">
        <v>17</v>
      </c>
      <c r="H53">
        <f t="shared" si="1"/>
        <v>2.5329999999999999</v>
      </c>
      <c r="I53" t="s">
        <v>873</v>
      </c>
      <c r="L53" s="8" t="s">
        <v>873</v>
      </c>
      <c r="M53" s="8">
        <v>0.14899999999999999</v>
      </c>
      <c r="N53" s="8"/>
      <c r="O53" s="8"/>
      <c r="P53" s="8">
        <v>17</v>
      </c>
      <c r="Q53" s="8" t="s">
        <v>803</v>
      </c>
      <c r="R53" s="8" t="s">
        <v>956</v>
      </c>
      <c r="S53" s="8" t="s">
        <v>957</v>
      </c>
      <c r="T53" s="8"/>
      <c r="U53" s="8"/>
      <c r="V53" s="8"/>
    </row>
    <row r="54" spans="1:22" x14ac:dyDescent="0.2">
      <c r="A54" s="8" t="s">
        <v>320</v>
      </c>
      <c r="B54" s="8" t="s">
        <v>611</v>
      </c>
      <c r="C54" s="8" t="s">
        <v>717</v>
      </c>
      <c r="D54" s="8">
        <v>0.191</v>
      </c>
      <c r="E54" s="8">
        <v>3.8200000000000003</v>
      </c>
      <c r="F54" s="8" t="s">
        <v>659</v>
      </c>
      <c r="G54" s="8">
        <v>17</v>
      </c>
      <c r="H54">
        <f t="shared" si="1"/>
        <v>3.2469999999999999</v>
      </c>
      <c r="I54" t="s">
        <v>874</v>
      </c>
      <c r="L54" s="8" t="s">
        <v>874</v>
      </c>
      <c r="M54" s="8">
        <v>0.191</v>
      </c>
      <c r="N54" s="8"/>
      <c r="O54" s="8"/>
      <c r="P54" s="8">
        <v>17</v>
      </c>
      <c r="Q54" s="8" t="s">
        <v>803</v>
      </c>
      <c r="R54" s="8" t="s">
        <v>956</v>
      </c>
      <c r="S54" s="8" t="s">
        <v>957</v>
      </c>
      <c r="T54" s="8"/>
      <c r="U54" s="8"/>
      <c r="V54" s="8"/>
    </row>
    <row r="55" spans="1:22" x14ac:dyDescent="0.2">
      <c r="A55" s="8" t="s">
        <v>145</v>
      </c>
      <c r="B55" s="8" t="s">
        <v>554</v>
      </c>
      <c r="C55" s="8" t="s">
        <v>718</v>
      </c>
      <c r="D55" s="8">
        <v>0.14499999999999999</v>
      </c>
      <c r="E55" s="8">
        <v>2.9</v>
      </c>
      <c r="F55" s="8" t="s">
        <v>659</v>
      </c>
      <c r="G55" s="8">
        <v>17</v>
      </c>
      <c r="H55">
        <f t="shared" si="1"/>
        <v>2.4649999999999999</v>
      </c>
      <c r="I55" t="s">
        <v>875</v>
      </c>
      <c r="L55" s="8" t="s">
        <v>875</v>
      </c>
      <c r="M55" s="8">
        <v>0.14499999999999999</v>
      </c>
      <c r="N55" s="8"/>
      <c r="O55" s="8"/>
      <c r="P55" s="8">
        <v>17</v>
      </c>
      <c r="Q55" s="8" t="s">
        <v>803</v>
      </c>
      <c r="R55" s="8" t="s">
        <v>956</v>
      </c>
      <c r="S55" s="8" t="s">
        <v>957</v>
      </c>
      <c r="T55" s="8"/>
      <c r="U55" s="8"/>
      <c r="V55" s="8"/>
    </row>
    <row r="56" spans="1:22" x14ac:dyDescent="0.2">
      <c r="A56" s="8" t="s">
        <v>260</v>
      </c>
      <c r="B56" s="8" t="s">
        <v>612</v>
      </c>
      <c r="C56" s="8" t="s">
        <v>719</v>
      </c>
      <c r="D56" s="8">
        <v>0.20100000000000001</v>
      </c>
      <c r="E56" s="8">
        <v>4.0200000000000005</v>
      </c>
      <c r="F56" s="8" t="s">
        <v>659</v>
      </c>
      <c r="G56" s="8">
        <v>17</v>
      </c>
      <c r="H56">
        <f t="shared" si="1"/>
        <v>3.4170000000000003</v>
      </c>
      <c r="I56" t="s">
        <v>876</v>
      </c>
      <c r="L56" s="8" t="s">
        <v>876</v>
      </c>
      <c r="M56" s="8">
        <v>0.20100000000000001</v>
      </c>
      <c r="N56" s="8"/>
      <c r="O56" s="8"/>
      <c r="P56" s="8">
        <v>17</v>
      </c>
      <c r="Q56" s="8" t="s">
        <v>803</v>
      </c>
      <c r="R56" s="8" t="s">
        <v>956</v>
      </c>
      <c r="S56" s="8" t="s">
        <v>957</v>
      </c>
      <c r="T56" s="8"/>
      <c r="U56" s="8"/>
      <c r="V56" s="8"/>
    </row>
    <row r="57" spans="1:22" x14ac:dyDescent="0.2">
      <c r="A57" s="8" t="s">
        <v>10</v>
      </c>
      <c r="B57" s="8" t="s">
        <v>555</v>
      </c>
      <c r="C57" s="8" t="s">
        <v>720</v>
      </c>
      <c r="D57" s="8">
        <v>0.26200000000000001</v>
      </c>
      <c r="E57" s="8">
        <v>5.24</v>
      </c>
      <c r="F57" s="8" t="s">
        <v>659</v>
      </c>
      <c r="G57" s="8">
        <v>17</v>
      </c>
      <c r="H57">
        <f t="shared" si="1"/>
        <v>4.4539999999999997</v>
      </c>
      <c r="I57" t="s">
        <v>877</v>
      </c>
      <c r="L57" s="8" t="s">
        <v>877</v>
      </c>
      <c r="M57" s="8">
        <v>0.26200000000000001</v>
      </c>
      <c r="N57" s="8"/>
      <c r="O57" s="8"/>
      <c r="P57" s="8">
        <v>17</v>
      </c>
      <c r="Q57" s="8" t="s">
        <v>803</v>
      </c>
      <c r="R57" s="8" t="s">
        <v>956</v>
      </c>
      <c r="S57" s="8" t="s">
        <v>957</v>
      </c>
      <c r="T57" s="8"/>
      <c r="U57" s="8"/>
      <c r="V57" s="8"/>
    </row>
    <row r="58" spans="1:22" x14ac:dyDescent="0.2">
      <c r="A58" s="8" t="s">
        <v>33</v>
      </c>
      <c r="B58" s="8" t="s">
        <v>556</v>
      </c>
      <c r="C58" s="8" t="s">
        <v>721</v>
      </c>
      <c r="D58" s="8">
        <v>0.153</v>
      </c>
      <c r="E58" s="8">
        <v>3.06</v>
      </c>
      <c r="F58" s="8" t="s">
        <v>659</v>
      </c>
      <c r="G58" s="8">
        <v>17</v>
      </c>
      <c r="H58">
        <f t="shared" si="1"/>
        <v>2.601</v>
      </c>
      <c r="I58" t="s">
        <v>878</v>
      </c>
      <c r="L58" s="8" t="s">
        <v>878</v>
      </c>
      <c r="M58" s="8">
        <v>0.153</v>
      </c>
      <c r="N58" s="8"/>
      <c r="O58" s="8"/>
      <c r="P58" s="8">
        <v>17</v>
      </c>
      <c r="Q58" s="8" t="s">
        <v>803</v>
      </c>
      <c r="R58" s="8" t="s">
        <v>956</v>
      </c>
      <c r="S58" s="8" t="s">
        <v>957</v>
      </c>
      <c r="T58" s="8"/>
      <c r="U58" s="8"/>
      <c r="V58" s="8"/>
    </row>
    <row r="59" spans="1:22" x14ac:dyDescent="0.2">
      <c r="A59" s="8" t="s">
        <v>73</v>
      </c>
      <c r="B59" s="8" t="s">
        <v>557</v>
      </c>
      <c r="C59" s="8" t="s">
        <v>722</v>
      </c>
      <c r="D59" s="8">
        <v>0.152</v>
      </c>
      <c r="E59" s="8">
        <v>3.04</v>
      </c>
      <c r="F59" s="8" t="s">
        <v>659</v>
      </c>
      <c r="G59" s="8">
        <v>17</v>
      </c>
      <c r="H59">
        <f t="shared" si="1"/>
        <v>2.5840000000000001</v>
      </c>
      <c r="I59" t="s">
        <v>879</v>
      </c>
      <c r="L59" s="8" t="s">
        <v>879</v>
      </c>
      <c r="M59" s="8">
        <v>0.152</v>
      </c>
      <c r="N59" s="8"/>
      <c r="O59" s="8"/>
      <c r="P59" s="8">
        <v>17</v>
      </c>
      <c r="Q59" s="8" t="s">
        <v>803</v>
      </c>
      <c r="R59" s="8" t="s">
        <v>956</v>
      </c>
      <c r="S59" s="8" t="s">
        <v>957</v>
      </c>
      <c r="T59" s="8"/>
      <c r="U59" s="8"/>
      <c r="V59" s="8"/>
    </row>
    <row r="60" spans="1:22" x14ac:dyDescent="0.2">
      <c r="A60" s="8" t="s">
        <v>317</v>
      </c>
      <c r="B60" s="8" t="s">
        <v>613</v>
      </c>
      <c r="C60" s="8" t="s">
        <v>723</v>
      </c>
      <c r="D60" s="8">
        <v>0.159</v>
      </c>
      <c r="E60" s="8">
        <v>3.18</v>
      </c>
      <c r="F60" s="8" t="s">
        <v>659</v>
      </c>
      <c r="G60" s="8">
        <v>17</v>
      </c>
      <c r="H60">
        <f t="shared" si="1"/>
        <v>2.7030000000000003</v>
      </c>
      <c r="I60" t="s">
        <v>880</v>
      </c>
      <c r="L60" s="8" t="s">
        <v>880</v>
      </c>
      <c r="M60" s="8">
        <v>0.159</v>
      </c>
      <c r="N60" s="8"/>
      <c r="O60" s="8"/>
      <c r="P60" s="8">
        <v>17</v>
      </c>
      <c r="Q60" s="8" t="s">
        <v>803</v>
      </c>
      <c r="R60" s="8" t="s">
        <v>956</v>
      </c>
      <c r="S60" s="8" t="s">
        <v>957</v>
      </c>
      <c r="T60" s="8"/>
      <c r="U60" s="8"/>
      <c r="V60" s="8"/>
    </row>
    <row r="61" spans="1:22" x14ac:dyDescent="0.2">
      <c r="A61" s="8" t="s">
        <v>323</v>
      </c>
      <c r="B61" s="8" t="s">
        <v>614</v>
      </c>
      <c r="C61" s="8" t="s">
        <v>724</v>
      </c>
      <c r="D61" s="8">
        <v>0.17100000000000001</v>
      </c>
      <c r="E61" s="8">
        <v>3.4200000000000004</v>
      </c>
      <c r="F61" s="8" t="s">
        <v>659</v>
      </c>
      <c r="G61" s="8">
        <v>17</v>
      </c>
      <c r="H61">
        <f t="shared" si="1"/>
        <v>2.9070000000000005</v>
      </c>
      <c r="I61" t="s">
        <v>881</v>
      </c>
      <c r="L61" s="8" t="s">
        <v>881</v>
      </c>
      <c r="M61" s="8">
        <v>0.17100000000000001</v>
      </c>
      <c r="N61" s="8"/>
      <c r="O61" s="8"/>
      <c r="P61" s="8">
        <v>17</v>
      </c>
      <c r="Q61" s="8" t="s">
        <v>803</v>
      </c>
      <c r="R61" s="8" t="s">
        <v>956</v>
      </c>
      <c r="S61" s="8" t="s">
        <v>957</v>
      </c>
      <c r="T61" s="8"/>
      <c r="U61" s="8"/>
      <c r="V61" s="8"/>
    </row>
    <row r="62" spans="1:22" x14ac:dyDescent="0.2">
      <c r="A62" s="8" t="s">
        <v>293</v>
      </c>
      <c r="B62" s="8" t="s">
        <v>615</v>
      </c>
      <c r="C62" s="8" t="s">
        <v>725</v>
      </c>
      <c r="D62" s="8">
        <v>0.16700000000000001</v>
      </c>
      <c r="E62" s="8">
        <v>3.3400000000000003</v>
      </c>
      <c r="F62" s="8" t="s">
        <v>659</v>
      </c>
      <c r="G62" s="8">
        <v>17</v>
      </c>
      <c r="H62">
        <f t="shared" si="1"/>
        <v>2.8390000000000004</v>
      </c>
      <c r="I62" t="s">
        <v>882</v>
      </c>
      <c r="L62" s="8" t="s">
        <v>882</v>
      </c>
      <c r="M62" s="8">
        <v>0.16700000000000001</v>
      </c>
      <c r="N62" s="8"/>
      <c r="O62" s="8"/>
      <c r="P62" s="8">
        <v>17</v>
      </c>
      <c r="Q62" s="8" t="s">
        <v>803</v>
      </c>
      <c r="R62" s="8" t="s">
        <v>956</v>
      </c>
      <c r="S62" s="8" t="s">
        <v>957</v>
      </c>
      <c r="T62" s="8"/>
      <c r="U62" s="8"/>
      <c r="V62" s="8"/>
    </row>
    <row r="63" spans="1:22" x14ac:dyDescent="0.2">
      <c r="A63" s="8" t="s">
        <v>190</v>
      </c>
      <c r="B63" s="8" t="s">
        <v>558</v>
      </c>
      <c r="C63" s="8" t="s">
        <v>726</v>
      </c>
      <c r="D63" s="8">
        <v>0.20699999999999999</v>
      </c>
      <c r="E63" s="8">
        <v>4.1399999999999997</v>
      </c>
      <c r="F63" s="8" t="s">
        <v>659</v>
      </c>
      <c r="G63" s="8">
        <v>17</v>
      </c>
      <c r="H63">
        <f t="shared" si="1"/>
        <v>3.5189999999999997</v>
      </c>
      <c r="I63" t="s">
        <v>883</v>
      </c>
      <c r="L63" s="8" t="s">
        <v>883</v>
      </c>
      <c r="M63" s="8">
        <v>0.20699999999999999</v>
      </c>
      <c r="N63" s="8"/>
      <c r="O63" s="8"/>
      <c r="P63" s="8">
        <v>17</v>
      </c>
      <c r="Q63" s="8" t="s">
        <v>803</v>
      </c>
      <c r="R63" s="8" t="s">
        <v>956</v>
      </c>
      <c r="S63" s="8" t="s">
        <v>957</v>
      </c>
      <c r="T63" s="8"/>
      <c r="U63" s="8"/>
      <c r="V63" s="8"/>
    </row>
    <row r="64" spans="1:22" x14ac:dyDescent="0.2">
      <c r="A64" s="8" t="s">
        <v>326</v>
      </c>
      <c r="B64" s="8" t="s">
        <v>616</v>
      </c>
      <c r="C64" s="8" t="s">
        <v>727</v>
      </c>
      <c r="D64" s="8">
        <v>0.2</v>
      </c>
      <c r="E64" s="8">
        <v>4</v>
      </c>
      <c r="F64" s="8" t="s">
        <v>659</v>
      </c>
      <c r="G64" s="8">
        <v>17</v>
      </c>
      <c r="H64">
        <f t="shared" si="1"/>
        <v>3.4</v>
      </c>
      <c r="I64" t="s">
        <v>884</v>
      </c>
      <c r="L64" s="8" t="s">
        <v>884</v>
      </c>
      <c r="M64" s="8">
        <v>0.2</v>
      </c>
      <c r="N64" s="8"/>
      <c r="O64" s="8"/>
      <c r="P64" s="8">
        <v>17</v>
      </c>
      <c r="Q64" s="8" t="s">
        <v>803</v>
      </c>
      <c r="R64" s="8" t="s">
        <v>956</v>
      </c>
      <c r="S64" s="8" t="s">
        <v>957</v>
      </c>
      <c r="T64" s="8"/>
      <c r="U64" s="8"/>
      <c r="V64" s="8"/>
    </row>
    <row r="65" spans="1:22" x14ac:dyDescent="0.2">
      <c r="A65" s="8" t="s">
        <v>290</v>
      </c>
      <c r="B65" s="8" t="s">
        <v>617</v>
      </c>
      <c r="C65" s="8" t="s">
        <v>504</v>
      </c>
      <c r="D65" s="8">
        <v>8.3299999999999999E-2</v>
      </c>
      <c r="E65" s="8">
        <v>1.6659999999999999</v>
      </c>
      <c r="F65" s="8" t="s">
        <v>659</v>
      </c>
      <c r="G65" s="8">
        <v>17</v>
      </c>
      <c r="H65">
        <f t="shared" si="1"/>
        <v>1.4160999999999999</v>
      </c>
      <c r="I65" t="s">
        <v>885</v>
      </c>
      <c r="L65" s="8" t="s">
        <v>885</v>
      </c>
      <c r="M65" s="8">
        <v>8.3299999999999999E-2</v>
      </c>
      <c r="N65" s="8"/>
      <c r="O65" s="8"/>
      <c r="P65" s="8">
        <v>17</v>
      </c>
      <c r="Q65" s="8" t="s">
        <v>803</v>
      </c>
      <c r="R65" s="8" t="s">
        <v>956</v>
      </c>
      <c r="S65" s="8" t="s">
        <v>957</v>
      </c>
      <c r="T65" s="8"/>
      <c r="U65" s="8"/>
      <c r="V65" s="8"/>
    </row>
    <row r="66" spans="1:22" x14ac:dyDescent="0.2">
      <c r="A66" s="8" t="s">
        <v>53</v>
      </c>
      <c r="B66" s="8" t="s">
        <v>559</v>
      </c>
      <c r="C66" s="8" t="s">
        <v>505</v>
      </c>
      <c r="D66" s="8">
        <v>9.1300000000000006E-2</v>
      </c>
      <c r="E66" s="8">
        <v>1.8260000000000001</v>
      </c>
      <c r="F66" s="8" t="s">
        <v>659</v>
      </c>
      <c r="G66" s="8">
        <v>17</v>
      </c>
      <c r="H66">
        <f t="shared" ref="H66:H97" si="2">E66*17/20</f>
        <v>1.5521</v>
      </c>
      <c r="I66" t="s">
        <v>886</v>
      </c>
      <c r="L66" s="8" t="s">
        <v>886</v>
      </c>
      <c r="M66" s="8">
        <v>9.1300000000000006E-2</v>
      </c>
      <c r="N66" s="8"/>
      <c r="O66" s="8"/>
      <c r="P66" s="8">
        <v>17</v>
      </c>
      <c r="Q66" s="8" t="s">
        <v>803</v>
      </c>
      <c r="R66" s="8" t="s">
        <v>956</v>
      </c>
      <c r="S66" s="8" t="s">
        <v>957</v>
      </c>
      <c r="T66" s="8"/>
      <c r="U66" s="8"/>
      <c r="V66" s="8"/>
    </row>
    <row r="67" spans="1:22" x14ac:dyDescent="0.2">
      <c r="A67" s="8" t="s">
        <v>350</v>
      </c>
      <c r="B67" s="8" t="s">
        <v>618</v>
      </c>
      <c r="C67" s="8" t="s">
        <v>728</v>
      </c>
      <c r="D67" s="8">
        <v>0.153</v>
      </c>
      <c r="E67" s="8">
        <v>3.06</v>
      </c>
      <c r="F67" s="8" t="s">
        <v>659</v>
      </c>
      <c r="G67" s="8">
        <v>17</v>
      </c>
      <c r="H67">
        <f t="shared" si="2"/>
        <v>2.601</v>
      </c>
      <c r="I67" t="s">
        <v>887</v>
      </c>
      <c r="L67" s="8" t="s">
        <v>887</v>
      </c>
      <c r="M67" s="8">
        <v>0.153</v>
      </c>
      <c r="N67" s="8"/>
      <c r="O67" s="8"/>
      <c r="P67" s="8">
        <v>17</v>
      </c>
      <c r="Q67" s="8" t="s">
        <v>803</v>
      </c>
      <c r="R67" s="8" t="s">
        <v>956</v>
      </c>
      <c r="S67" s="8" t="s">
        <v>957</v>
      </c>
      <c r="T67" s="8"/>
      <c r="U67" s="8"/>
      <c r="V67" s="8"/>
    </row>
    <row r="68" spans="1:22" x14ac:dyDescent="0.2">
      <c r="A68" s="8" t="s">
        <v>59</v>
      </c>
      <c r="B68" s="8" t="s">
        <v>560</v>
      </c>
      <c r="C68" s="8" t="s">
        <v>729</v>
      </c>
      <c r="D68" s="8">
        <v>0.158</v>
      </c>
      <c r="E68" s="8">
        <v>3.16</v>
      </c>
      <c r="F68" s="8" t="s">
        <v>659</v>
      </c>
      <c r="G68" s="8">
        <v>17</v>
      </c>
      <c r="H68">
        <f t="shared" si="2"/>
        <v>2.6859999999999999</v>
      </c>
      <c r="I68" t="s">
        <v>888</v>
      </c>
      <c r="L68" s="8" t="s">
        <v>888</v>
      </c>
      <c r="M68" s="8">
        <v>0.158</v>
      </c>
      <c r="N68" s="8"/>
      <c r="O68" s="8"/>
      <c r="P68" s="8">
        <v>17</v>
      </c>
      <c r="Q68" s="8" t="s">
        <v>803</v>
      </c>
      <c r="R68" s="8" t="s">
        <v>956</v>
      </c>
      <c r="S68" s="8" t="s">
        <v>957</v>
      </c>
      <c r="T68" s="8"/>
      <c r="U68" s="8"/>
      <c r="V68" s="8"/>
    </row>
    <row r="69" spans="1:22" x14ac:dyDescent="0.2">
      <c r="A69" s="8" t="s">
        <v>25</v>
      </c>
      <c r="B69" s="8" t="s">
        <v>561</v>
      </c>
      <c r="C69" s="8" t="s">
        <v>730</v>
      </c>
      <c r="D69" s="8">
        <v>6.6000000000000003E-2</v>
      </c>
      <c r="E69" s="8">
        <v>1.32</v>
      </c>
      <c r="F69" s="8" t="s">
        <v>659</v>
      </c>
      <c r="G69" s="8">
        <v>17</v>
      </c>
      <c r="H69">
        <f t="shared" si="2"/>
        <v>1.1220000000000001</v>
      </c>
      <c r="I69" t="s">
        <v>889</v>
      </c>
      <c r="L69" s="8" t="s">
        <v>889</v>
      </c>
      <c r="M69" s="8">
        <v>6.6000000000000003E-2</v>
      </c>
      <c r="N69" s="8"/>
      <c r="O69" s="8"/>
      <c r="P69" s="8">
        <v>17</v>
      </c>
      <c r="Q69" s="8" t="s">
        <v>803</v>
      </c>
      <c r="R69" s="8" t="s">
        <v>956</v>
      </c>
      <c r="S69" s="8" t="s">
        <v>957</v>
      </c>
      <c r="T69" s="8"/>
      <c r="U69" s="8"/>
      <c r="V69" s="8"/>
    </row>
    <row r="70" spans="1:22" x14ac:dyDescent="0.2">
      <c r="A70" s="8" t="s">
        <v>97</v>
      </c>
      <c r="B70" s="8" t="s">
        <v>562</v>
      </c>
      <c r="C70" s="8" t="s">
        <v>731</v>
      </c>
      <c r="D70" s="8">
        <v>0.123</v>
      </c>
      <c r="E70" s="8">
        <v>2.46</v>
      </c>
      <c r="F70" s="8" t="s">
        <v>659</v>
      </c>
      <c r="G70" s="8">
        <v>17</v>
      </c>
      <c r="H70">
        <f t="shared" si="2"/>
        <v>2.0910000000000002</v>
      </c>
      <c r="I70" t="s">
        <v>890</v>
      </c>
      <c r="L70" s="8" t="s">
        <v>890</v>
      </c>
      <c r="M70" s="8">
        <v>0.123</v>
      </c>
      <c r="N70" s="8"/>
      <c r="O70" s="8"/>
      <c r="P70" s="8">
        <v>17</v>
      </c>
      <c r="Q70" s="8" t="s">
        <v>803</v>
      </c>
      <c r="R70" s="8" t="s">
        <v>956</v>
      </c>
      <c r="S70" s="8" t="s">
        <v>957</v>
      </c>
      <c r="T70" s="8"/>
      <c r="U70" s="8"/>
      <c r="V70" s="8"/>
    </row>
    <row r="71" spans="1:22" x14ac:dyDescent="0.2">
      <c r="A71" s="8" t="s">
        <v>106</v>
      </c>
      <c r="B71" s="8" t="s">
        <v>563</v>
      </c>
      <c r="C71" s="8" t="s">
        <v>732</v>
      </c>
      <c r="D71" s="8">
        <v>0.152</v>
      </c>
      <c r="E71" s="8">
        <v>3.04</v>
      </c>
      <c r="F71" s="8" t="s">
        <v>659</v>
      </c>
      <c r="G71" s="8">
        <v>17</v>
      </c>
      <c r="H71">
        <f t="shared" si="2"/>
        <v>2.5840000000000001</v>
      </c>
      <c r="I71" t="s">
        <v>891</v>
      </c>
      <c r="L71" s="8" t="s">
        <v>891</v>
      </c>
      <c r="M71" s="8">
        <v>0.152</v>
      </c>
      <c r="N71" s="8"/>
      <c r="O71" s="8"/>
      <c r="P71" s="8">
        <v>17</v>
      </c>
      <c r="Q71" s="8" t="s">
        <v>803</v>
      </c>
      <c r="R71" s="8" t="s">
        <v>956</v>
      </c>
      <c r="S71" s="8" t="s">
        <v>957</v>
      </c>
      <c r="T71" s="8"/>
      <c r="U71" s="8"/>
      <c r="V71" s="8"/>
    </row>
    <row r="72" spans="1:22" x14ac:dyDescent="0.2">
      <c r="A72" s="8" t="s">
        <v>71</v>
      </c>
      <c r="B72" s="8" t="s">
        <v>564</v>
      </c>
      <c r="C72" s="8" t="s">
        <v>733</v>
      </c>
      <c r="D72" s="8">
        <v>0.12</v>
      </c>
      <c r="E72" s="8">
        <v>2.4</v>
      </c>
      <c r="F72" s="8" t="s">
        <v>659</v>
      </c>
      <c r="G72" s="8">
        <v>17</v>
      </c>
      <c r="H72">
        <f t="shared" si="2"/>
        <v>2.04</v>
      </c>
      <c r="I72" t="s">
        <v>892</v>
      </c>
      <c r="L72" s="8" t="s">
        <v>892</v>
      </c>
      <c r="M72" s="8">
        <v>0.12</v>
      </c>
      <c r="N72" s="8"/>
      <c r="O72" s="8"/>
      <c r="P72" s="8">
        <v>17</v>
      </c>
      <c r="Q72" s="8" t="s">
        <v>803</v>
      </c>
      <c r="R72" s="8" t="s">
        <v>956</v>
      </c>
      <c r="S72" s="8" t="s">
        <v>957</v>
      </c>
      <c r="T72" s="8"/>
      <c r="U72" s="8"/>
      <c r="V72" s="8"/>
    </row>
    <row r="73" spans="1:22" x14ac:dyDescent="0.2">
      <c r="A73" s="8" t="s">
        <v>23</v>
      </c>
      <c r="B73" s="8" t="s">
        <v>565</v>
      </c>
      <c r="C73" s="8" t="s">
        <v>734</v>
      </c>
      <c r="D73" s="8">
        <v>0.14099999999999999</v>
      </c>
      <c r="E73" s="8">
        <v>2.82</v>
      </c>
      <c r="F73" s="8" t="s">
        <v>659</v>
      </c>
      <c r="G73" s="8">
        <v>17</v>
      </c>
      <c r="H73">
        <f t="shared" si="2"/>
        <v>2.3969999999999998</v>
      </c>
      <c r="I73" t="s">
        <v>893</v>
      </c>
      <c r="L73" s="8" t="s">
        <v>893</v>
      </c>
      <c r="M73" s="8">
        <v>0.14099999999999999</v>
      </c>
      <c r="N73" s="8"/>
      <c r="O73" s="8"/>
      <c r="P73" s="8">
        <v>17</v>
      </c>
      <c r="Q73" s="8" t="s">
        <v>803</v>
      </c>
      <c r="R73" s="8" t="s">
        <v>956</v>
      </c>
      <c r="S73" s="8" t="s">
        <v>957</v>
      </c>
      <c r="T73" s="8"/>
      <c r="U73" s="8"/>
      <c r="V73" s="8"/>
    </row>
    <row r="74" spans="1:22" x14ac:dyDescent="0.2">
      <c r="A74" s="8" t="s">
        <v>251</v>
      </c>
      <c r="B74" s="8" t="s">
        <v>619</v>
      </c>
      <c r="C74" s="8" t="s">
        <v>735</v>
      </c>
      <c r="D74" s="8">
        <v>0.114</v>
      </c>
      <c r="E74" s="8">
        <v>2.2800000000000002</v>
      </c>
      <c r="F74" s="8" t="s">
        <v>659</v>
      </c>
      <c r="G74" s="8">
        <v>17</v>
      </c>
      <c r="H74">
        <f t="shared" si="2"/>
        <v>1.9380000000000002</v>
      </c>
      <c r="I74" t="s">
        <v>894</v>
      </c>
      <c r="L74" s="8" t="s">
        <v>894</v>
      </c>
      <c r="M74" s="8">
        <v>0.114</v>
      </c>
      <c r="N74" s="8"/>
      <c r="O74" s="8"/>
      <c r="P74" s="8">
        <v>17</v>
      </c>
      <c r="Q74" s="8" t="s">
        <v>803</v>
      </c>
      <c r="R74" s="8" t="s">
        <v>956</v>
      </c>
      <c r="S74" s="8" t="s">
        <v>957</v>
      </c>
      <c r="T74" s="8"/>
      <c r="U74" s="8"/>
      <c r="V74" s="8"/>
    </row>
    <row r="75" spans="1:22" x14ac:dyDescent="0.2">
      <c r="A75" s="8" t="s">
        <v>148</v>
      </c>
      <c r="B75" s="8" t="s">
        <v>566</v>
      </c>
      <c r="C75" s="8" t="s">
        <v>736</v>
      </c>
      <c r="D75" s="8">
        <v>0.13200000000000001</v>
      </c>
      <c r="E75" s="8">
        <v>2.64</v>
      </c>
      <c r="F75" s="8" t="s">
        <v>659</v>
      </c>
      <c r="G75" s="8">
        <v>17</v>
      </c>
      <c r="H75">
        <f t="shared" si="2"/>
        <v>2.2440000000000002</v>
      </c>
      <c r="I75" t="s">
        <v>895</v>
      </c>
      <c r="L75" s="8" t="s">
        <v>895</v>
      </c>
      <c r="M75" s="8">
        <v>0.13200000000000001</v>
      </c>
      <c r="N75" s="8"/>
      <c r="O75" s="8"/>
      <c r="P75" s="8">
        <v>17</v>
      </c>
      <c r="Q75" s="8" t="s">
        <v>803</v>
      </c>
      <c r="R75" s="8" t="s">
        <v>956</v>
      </c>
      <c r="S75" s="8" t="s">
        <v>957</v>
      </c>
      <c r="T75" s="8"/>
      <c r="U75" s="8"/>
      <c r="V75" s="8"/>
    </row>
    <row r="76" spans="1:22" x14ac:dyDescent="0.2">
      <c r="A76" s="8" t="s">
        <v>112</v>
      </c>
      <c r="B76" s="8" t="s">
        <v>567</v>
      </c>
      <c r="C76" s="8" t="s">
        <v>737</v>
      </c>
      <c r="D76" s="8">
        <v>0.14499999999999999</v>
      </c>
      <c r="E76" s="8">
        <v>2.9</v>
      </c>
      <c r="F76" s="8" t="s">
        <v>659</v>
      </c>
      <c r="G76" s="8">
        <v>17</v>
      </c>
      <c r="H76">
        <f t="shared" si="2"/>
        <v>2.4649999999999999</v>
      </c>
      <c r="I76" t="s">
        <v>896</v>
      </c>
      <c r="L76" s="8" t="s">
        <v>896</v>
      </c>
      <c r="M76" s="8">
        <v>0.14499999999999999</v>
      </c>
      <c r="N76" s="8"/>
      <c r="O76" s="8"/>
      <c r="P76" s="8">
        <v>17</v>
      </c>
      <c r="Q76" s="8" t="s">
        <v>803</v>
      </c>
      <c r="R76" s="8" t="s">
        <v>956</v>
      </c>
      <c r="S76" s="8" t="s">
        <v>957</v>
      </c>
      <c r="T76" s="8"/>
      <c r="U76" s="8"/>
      <c r="V76" s="8"/>
    </row>
    <row r="77" spans="1:22" x14ac:dyDescent="0.2">
      <c r="A77" s="8" t="s">
        <v>284</v>
      </c>
      <c r="B77" s="8" t="s">
        <v>620</v>
      </c>
      <c r="C77" s="8" t="s">
        <v>738</v>
      </c>
      <c r="D77" s="8">
        <v>0.153</v>
      </c>
      <c r="E77" s="8">
        <v>3.06</v>
      </c>
      <c r="F77" s="8" t="s">
        <v>659</v>
      </c>
      <c r="G77" s="8">
        <v>17</v>
      </c>
      <c r="H77">
        <f t="shared" si="2"/>
        <v>2.601</v>
      </c>
      <c r="I77" t="s">
        <v>897</v>
      </c>
      <c r="L77" s="8" t="s">
        <v>897</v>
      </c>
      <c r="M77" s="8">
        <v>0.153</v>
      </c>
      <c r="N77" s="8"/>
      <c r="O77" s="8"/>
      <c r="P77" s="8">
        <v>17</v>
      </c>
      <c r="Q77" s="8" t="s">
        <v>803</v>
      </c>
      <c r="R77" s="8" t="s">
        <v>956</v>
      </c>
      <c r="S77" s="8" t="s">
        <v>957</v>
      </c>
      <c r="T77" s="8"/>
      <c r="U77" s="8"/>
      <c r="V77" s="8"/>
    </row>
    <row r="78" spans="1:22" x14ac:dyDescent="0.2">
      <c r="A78" s="8" t="s">
        <v>127</v>
      </c>
      <c r="B78" s="8" t="s">
        <v>568</v>
      </c>
      <c r="C78" s="8" t="s">
        <v>739</v>
      </c>
      <c r="D78" s="8">
        <v>0.16700000000000001</v>
      </c>
      <c r="E78" s="8">
        <v>3.3400000000000003</v>
      </c>
      <c r="F78" s="8" t="s">
        <v>659</v>
      </c>
      <c r="G78" s="8">
        <v>17</v>
      </c>
      <c r="H78">
        <f t="shared" si="2"/>
        <v>2.8390000000000004</v>
      </c>
      <c r="I78" t="s">
        <v>898</v>
      </c>
      <c r="L78" s="8" t="s">
        <v>898</v>
      </c>
      <c r="M78" s="8">
        <v>0.16700000000000001</v>
      </c>
      <c r="N78" s="8"/>
      <c r="O78" s="8"/>
      <c r="P78" s="8">
        <v>17</v>
      </c>
      <c r="Q78" s="8" t="s">
        <v>803</v>
      </c>
      <c r="R78" s="8" t="s">
        <v>956</v>
      </c>
      <c r="S78" s="8" t="s">
        <v>957</v>
      </c>
      <c r="T78" s="8"/>
      <c r="U78" s="8"/>
      <c r="V78" s="8"/>
    </row>
    <row r="79" spans="1:22" x14ac:dyDescent="0.2">
      <c r="A79" s="8" t="s">
        <v>389</v>
      </c>
      <c r="B79" s="8" t="s">
        <v>621</v>
      </c>
      <c r="C79" s="8" t="s">
        <v>740</v>
      </c>
      <c r="D79" s="8">
        <v>0.221</v>
      </c>
      <c r="E79" s="8">
        <v>4.42</v>
      </c>
      <c r="F79" s="8" t="s">
        <v>659</v>
      </c>
      <c r="G79" s="8">
        <v>17</v>
      </c>
      <c r="H79">
        <f t="shared" si="2"/>
        <v>3.7570000000000001</v>
      </c>
      <c r="I79" t="s">
        <v>899</v>
      </c>
      <c r="L79" s="8" t="s">
        <v>899</v>
      </c>
      <c r="M79" s="8">
        <v>0.221</v>
      </c>
      <c r="N79" s="8"/>
      <c r="O79" s="8"/>
      <c r="P79" s="8">
        <v>17</v>
      </c>
      <c r="Q79" s="8" t="s">
        <v>803</v>
      </c>
      <c r="R79" s="8" t="s">
        <v>956</v>
      </c>
      <c r="S79" s="8" t="s">
        <v>957</v>
      </c>
      <c r="T79" s="8"/>
      <c r="U79" s="8"/>
      <c r="V79" s="8"/>
    </row>
    <row r="80" spans="1:22" x14ac:dyDescent="0.2">
      <c r="A80" s="8" t="s">
        <v>193</v>
      </c>
      <c r="B80" s="8" t="s">
        <v>569</v>
      </c>
      <c r="C80" s="8" t="s">
        <v>741</v>
      </c>
      <c r="D80" s="8">
        <v>0.20799999999999999</v>
      </c>
      <c r="E80" s="8">
        <v>4.16</v>
      </c>
      <c r="F80" s="8" t="s">
        <v>659</v>
      </c>
      <c r="G80" s="8">
        <v>17</v>
      </c>
      <c r="H80">
        <f t="shared" si="2"/>
        <v>3.536</v>
      </c>
      <c r="I80" t="s">
        <v>900</v>
      </c>
      <c r="L80" s="8" t="s">
        <v>900</v>
      </c>
      <c r="M80" s="8">
        <v>0.20799999999999999</v>
      </c>
      <c r="N80" s="8"/>
      <c r="O80" s="8"/>
      <c r="P80" s="8">
        <v>17</v>
      </c>
      <c r="Q80" s="8" t="s">
        <v>803</v>
      </c>
      <c r="R80" s="8" t="s">
        <v>956</v>
      </c>
      <c r="S80" s="8" t="s">
        <v>957</v>
      </c>
      <c r="T80" s="8"/>
      <c r="U80" s="8"/>
      <c r="V80" s="8"/>
    </row>
    <row r="81" spans="1:22" x14ac:dyDescent="0.2">
      <c r="A81" s="8" t="s">
        <v>43</v>
      </c>
      <c r="B81" s="8" t="s">
        <v>570</v>
      </c>
      <c r="C81" s="8" t="s">
        <v>742</v>
      </c>
      <c r="D81" s="8">
        <v>0.13900000000000001</v>
      </c>
      <c r="E81" s="8">
        <v>2.7800000000000002</v>
      </c>
      <c r="F81" s="8" t="s">
        <v>659</v>
      </c>
      <c r="G81" s="8">
        <v>17</v>
      </c>
      <c r="H81">
        <f t="shared" si="2"/>
        <v>2.3630000000000004</v>
      </c>
      <c r="I81" t="s">
        <v>901</v>
      </c>
      <c r="L81" s="8" t="s">
        <v>901</v>
      </c>
      <c r="M81" s="8">
        <v>0.13900000000000001</v>
      </c>
      <c r="N81" s="8"/>
      <c r="O81" s="8"/>
      <c r="P81" s="8">
        <v>17</v>
      </c>
      <c r="Q81" s="8" t="s">
        <v>803</v>
      </c>
      <c r="R81" s="8" t="s">
        <v>956</v>
      </c>
      <c r="S81" s="8" t="s">
        <v>957</v>
      </c>
      <c r="T81" s="8"/>
      <c r="U81" s="8"/>
      <c r="V81" s="8"/>
    </row>
    <row r="82" spans="1:22" x14ac:dyDescent="0.2">
      <c r="A82" s="8" t="s">
        <v>214</v>
      </c>
      <c r="B82" s="8" t="s">
        <v>622</v>
      </c>
      <c r="C82" s="8" t="s">
        <v>743</v>
      </c>
      <c r="D82" s="8">
        <v>0.154</v>
      </c>
      <c r="E82" s="8">
        <v>3.08</v>
      </c>
      <c r="F82" s="8" t="s">
        <v>659</v>
      </c>
      <c r="G82" s="8">
        <v>17</v>
      </c>
      <c r="H82">
        <f t="shared" si="2"/>
        <v>2.6179999999999999</v>
      </c>
      <c r="I82" t="s">
        <v>902</v>
      </c>
      <c r="L82" s="8" t="s">
        <v>902</v>
      </c>
      <c r="M82" s="8">
        <v>0.154</v>
      </c>
      <c r="N82" s="8"/>
      <c r="O82" s="8"/>
      <c r="P82" s="8">
        <v>17</v>
      </c>
      <c r="Q82" s="8" t="s">
        <v>803</v>
      </c>
      <c r="R82" s="8" t="s">
        <v>956</v>
      </c>
      <c r="S82" s="8" t="s">
        <v>957</v>
      </c>
      <c r="T82" s="8"/>
      <c r="U82" s="8"/>
      <c r="V82" s="8"/>
    </row>
    <row r="83" spans="1:22" x14ac:dyDescent="0.2">
      <c r="A83" s="8" t="s">
        <v>47</v>
      </c>
      <c r="B83" s="8" t="s">
        <v>571</v>
      </c>
      <c r="C83" s="8" t="s">
        <v>744</v>
      </c>
      <c r="D83" s="8">
        <v>0.18099999999999999</v>
      </c>
      <c r="E83" s="8">
        <v>3.62</v>
      </c>
      <c r="F83" s="8" t="s">
        <v>659</v>
      </c>
      <c r="G83" s="8">
        <v>17</v>
      </c>
      <c r="H83">
        <f t="shared" si="2"/>
        <v>3.077</v>
      </c>
      <c r="I83" t="s">
        <v>903</v>
      </c>
      <c r="L83" s="8" t="s">
        <v>903</v>
      </c>
      <c r="M83" s="8">
        <v>0.18099999999999999</v>
      </c>
      <c r="N83" s="8"/>
      <c r="O83" s="8"/>
      <c r="P83" s="8">
        <v>17</v>
      </c>
      <c r="Q83" s="8" t="s">
        <v>803</v>
      </c>
      <c r="R83" s="8" t="s">
        <v>956</v>
      </c>
      <c r="S83" s="8" t="s">
        <v>957</v>
      </c>
      <c r="T83" s="8"/>
      <c r="U83" s="8"/>
      <c r="V83" s="8"/>
    </row>
    <row r="84" spans="1:22" x14ac:dyDescent="0.2">
      <c r="A84" s="8" t="s">
        <v>245</v>
      </c>
      <c r="B84" s="8" t="s">
        <v>623</v>
      </c>
      <c r="C84" s="8" t="s">
        <v>745</v>
      </c>
      <c r="D84" s="8">
        <v>0.19900000000000001</v>
      </c>
      <c r="E84" s="8">
        <v>3.9800000000000004</v>
      </c>
      <c r="F84" s="8" t="s">
        <v>659</v>
      </c>
      <c r="G84" s="8">
        <v>17</v>
      </c>
      <c r="H84">
        <f t="shared" si="2"/>
        <v>3.3830000000000005</v>
      </c>
      <c r="I84" t="s">
        <v>904</v>
      </c>
      <c r="L84" s="8" t="s">
        <v>904</v>
      </c>
      <c r="M84" s="8">
        <v>0.19900000000000001</v>
      </c>
      <c r="N84" s="8"/>
      <c r="O84" s="8"/>
      <c r="P84" s="8">
        <v>17</v>
      </c>
      <c r="Q84" s="8" t="s">
        <v>803</v>
      </c>
      <c r="R84" s="8" t="s">
        <v>956</v>
      </c>
      <c r="S84" s="8" t="s">
        <v>957</v>
      </c>
      <c r="T84" s="8"/>
      <c r="U84" s="8"/>
      <c r="V84" s="8"/>
    </row>
    <row r="85" spans="1:22" x14ac:dyDescent="0.2">
      <c r="A85" s="8" t="s">
        <v>311</v>
      </c>
      <c r="B85" s="8" t="s">
        <v>624</v>
      </c>
      <c r="C85" s="8" t="s">
        <v>746</v>
      </c>
      <c r="D85" s="8">
        <v>0.20599999999999999</v>
      </c>
      <c r="E85" s="8">
        <v>4.12</v>
      </c>
      <c r="F85" s="8" t="s">
        <v>659</v>
      </c>
      <c r="G85" s="8">
        <v>17</v>
      </c>
      <c r="H85">
        <f t="shared" si="2"/>
        <v>3.5020000000000002</v>
      </c>
      <c r="I85" t="s">
        <v>905</v>
      </c>
      <c r="L85" s="8" t="s">
        <v>905</v>
      </c>
      <c r="M85" s="8">
        <v>0.20599999999999999</v>
      </c>
      <c r="N85" s="8"/>
      <c r="O85" s="8"/>
      <c r="P85" s="8">
        <v>17</v>
      </c>
      <c r="Q85" s="8" t="s">
        <v>803</v>
      </c>
      <c r="R85" s="8" t="s">
        <v>956</v>
      </c>
      <c r="S85" s="8" t="s">
        <v>957</v>
      </c>
      <c r="T85" s="8"/>
      <c r="U85" s="8"/>
      <c r="V85" s="8"/>
    </row>
    <row r="86" spans="1:22" x14ac:dyDescent="0.2">
      <c r="A86" s="8" t="s">
        <v>305</v>
      </c>
      <c r="B86" s="8" t="s">
        <v>625</v>
      </c>
      <c r="C86" s="8" t="s">
        <v>747</v>
      </c>
      <c r="D86" s="8">
        <v>0.193</v>
      </c>
      <c r="E86" s="8">
        <v>3.8600000000000003</v>
      </c>
      <c r="F86" s="8" t="s">
        <v>659</v>
      </c>
      <c r="G86" s="8">
        <v>17</v>
      </c>
      <c r="H86">
        <f t="shared" si="2"/>
        <v>3.2810000000000001</v>
      </c>
      <c r="I86" t="s">
        <v>906</v>
      </c>
      <c r="L86" s="8" t="s">
        <v>906</v>
      </c>
      <c r="M86" s="8">
        <v>0.193</v>
      </c>
      <c r="N86" s="8"/>
      <c r="O86" s="8"/>
      <c r="P86" s="8">
        <v>17</v>
      </c>
      <c r="Q86" s="8" t="s">
        <v>803</v>
      </c>
      <c r="R86" s="8" t="s">
        <v>956</v>
      </c>
      <c r="S86" s="8" t="s">
        <v>957</v>
      </c>
      <c r="T86" s="8"/>
      <c r="U86" s="8"/>
      <c r="V86" s="8"/>
    </row>
    <row r="87" spans="1:22" x14ac:dyDescent="0.2">
      <c r="A87" s="8" t="s">
        <v>266</v>
      </c>
      <c r="B87" s="8" t="s">
        <v>626</v>
      </c>
      <c r="C87" s="8" t="s">
        <v>748</v>
      </c>
      <c r="D87" s="8">
        <v>0.28299999999999997</v>
      </c>
      <c r="E87" s="8">
        <v>5.6599999999999993</v>
      </c>
      <c r="F87" s="8" t="s">
        <v>659</v>
      </c>
      <c r="G87" s="8">
        <v>17</v>
      </c>
      <c r="H87">
        <f t="shared" si="2"/>
        <v>4.8109999999999991</v>
      </c>
      <c r="I87" t="s">
        <v>907</v>
      </c>
      <c r="L87" s="8" t="s">
        <v>907</v>
      </c>
      <c r="M87" s="8">
        <v>0.28299999999999997</v>
      </c>
      <c r="N87" s="8"/>
      <c r="O87" s="8"/>
      <c r="P87" s="8">
        <v>17</v>
      </c>
      <c r="Q87" s="8" t="s">
        <v>803</v>
      </c>
      <c r="R87" s="8" t="s">
        <v>956</v>
      </c>
      <c r="S87" s="8" t="s">
        <v>957</v>
      </c>
      <c r="T87" s="8"/>
      <c r="U87" s="8"/>
      <c r="V87" s="8"/>
    </row>
    <row r="88" spans="1:22" x14ac:dyDescent="0.2">
      <c r="A88" s="8" t="s">
        <v>208</v>
      </c>
      <c r="B88" s="8" t="s">
        <v>572</v>
      </c>
      <c r="C88" s="8" t="s">
        <v>749</v>
      </c>
      <c r="D88" s="8">
        <v>0.14199999999999999</v>
      </c>
      <c r="E88" s="8">
        <v>2.84</v>
      </c>
      <c r="F88" s="8" t="s">
        <v>659</v>
      </c>
      <c r="G88" s="8">
        <v>17</v>
      </c>
      <c r="H88">
        <f t="shared" si="2"/>
        <v>2.4140000000000001</v>
      </c>
      <c r="I88" t="s">
        <v>908</v>
      </c>
      <c r="L88" s="8" t="s">
        <v>908</v>
      </c>
      <c r="M88" s="8">
        <v>0.14199999999999999</v>
      </c>
      <c r="N88" s="8"/>
      <c r="O88" s="8"/>
      <c r="P88" s="8">
        <v>17</v>
      </c>
      <c r="Q88" s="8" t="s">
        <v>803</v>
      </c>
      <c r="R88" s="8" t="s">
        <v>956</v>
      </c>
      <c r="S88" s="8" t="s">
        <v>957</v>
      </c>
      <c r="T88" s="8"/>
      <c r="U88" s="8"/>
      <c r="V88" s="8"/>
    </row>
    <row r="89" spans="1:22" x14ac:dyDescent="0.2">
      <c r="A89" s="8" t="s">
        <v>196</v>
      </c>
      <c r="B89" s="8" t="s">
        <v>573</v>
      </c>
      <c r="C89" s="8" t="s">
        <v>750</v>
      </c>
      <c r="D89" s="8">
        <v>9.1300000000000006E-2</v>
      </c>
      <c r="E89" s="8">
        <v>1.8260000000000001</v>
      </c>
      <c r="F89" s="8" t="s">
        <v>659</v>
      </c>
      <c r="G89" s="8">
        <v>17</v>
      </c>
      <c r="H89">
        <f t="shared" si="2"/>
        <v>1.5521</v>
      </c>
      <c r="I89" t="s">
        <v>909</v>
      </c>
      <c r="L89" s="8" t="s">
        <v>909</v>
      </c>
      <c r="M89" s="8">
        <v>9.1300000000000006E-2</v>
      </c>
      <c r="N89" s="8"/>
      <c r="O89" s="8"/>
      <c r="P89" s="8">
        <v>17</v>
      </c>
      <c r="Q89" s="8" t="s">
        <v>803</v>
      </c>
      <c r="R89" s="8" t="s">
        <v>956</v>
      </c>
      <c r="S89" s="8" t="s">
        <v>957</v>
      </c>
      <c r="T89" s="8"/>
      <c r="U89" s="8"/>
      <c r="V89" s="8"/>
    </row>
    <row r="90" spans="1:22" x14ac:dyDescent="0.2">
      <c r="A90" s="8" t="s">
        <v>91</v>
      </c>
      <c r="B90" s="8" t="s">
        <v>574</v>
      </c>
      <c r="C90" s="8" t="s">
        <v>751</v>
      </c>
      <c r="D90" s="8">
        <v>8.0699999999999994E-2</v>
      </c>
      <c r="E90" s="8">
        <v>1.6139999999999999</v>
      </c>
      <c r="F90" s="8" t="s">
        <v>659</v>
      </c>
      <c r="G90" s="8">
        <v>17</v>
      </c>
      <c r="H90">
        <f t="shared" si="2"/>
        <v>1.3718999999999999</v>
      </c>
      <c r="I90" t="s">
        <v>910</v>
      </c>
      <c r="L90" s="8" t="s">
        <v>910</v>
      </c>
      <c r="M90" s="8">
        <v>8.0699999999999994E-2</v>
      </c>
      <c r="N90" s="8"/>
      <c r="O90" s="8"/>
      <c r="P90" s="8">
        <v>17</v>
      </c>
      <c r="Q90" s="8" t="s">
        <v>803</v>
      </c>
      <c r="R90" s="8" t="s">
        <v>956</v>
      </c>
      <c r="S90" s="8" t="s">
        <v>957</v>
      </c>
      <c r="T90" s="8"/>
      <c r="U90" s="8"/>
      <c r="V90" s="8"/>
    </row>
    <row r="91" spans="1:22" x14ac:dyDescent="0.2">
      <c r="A91" s="8" t="s">
        <v>118</v>
      </c>
      <c r="B91" s="8" t="s">
        <v>575</v>
      </c>
      <c r="C91" s="8" t="s">
        <v>752</v>
      </c>
      <c r="D91" s="8">
        <v>0.115</v>
      </c>
      <c r="E91" s="8">
        <v>2.3000000000000003</v>
      </c>
      <c r="F91" s="8" t="s">
        <v>659</v>
      </c>
      <c r="G91" s="8">
        <v>17</v>
      </c>
      <c r="H91">
        <f t="shared" si="2"/>
        <v>1.9550000000000001</v>
      </c>
      <c r="I91" t="s">
        <v>911</v>
      </c>
      <c r="L91" s="8" t="s">
        <v>911</v>
      </c>
      <c r="M91" s="8">
        <v>0.115</v>
      </c>
      <c r="N91" s="8"/>
      <c r="O91" s="8"/>
      <c r="P91" s="8">
        <v>17</v>
      </c>
      <c r="Q91" s="8" t="s">
        <v>803</v>
      </c>
      <c r="R91" s="8" t="s">
        <v>956</v>
      </c>
      <c r="S91" s="8" t="s">
        <v>957</v>
      </c>
      <c r="T91" s="8"/>
      <c r="U91" s="8"/>
      <c r="V91" s="8"/>
    </row>
    <row r="92" spans="1:22" x14ac:dyDescent="0.2">
      <c r="A92" s="8" t="s">
        <v>199</v>
      </c>
      <c r="B92" s="8" t="s">
        <v>576</v>
      </c>
      <c r="C92" s="8" t="s">
        <v>753</v>
      </c>
      <c r="D92" s="8">
        <v>0.11</v>
      </c>
      <c r="E92" s="8">
        <v>2.2000000000000002</v>
      </c>
      <c r="F92" s="8" t="s">
        <v>659</v>
      </c>
      <c r="G92" s="8">
        <v>17</v>
      </c>
      <c r="H92">
        <f t="shared" si="2"/>
        <v>1.8700000000000003</v>
      </c>
      <c r="I92" t="s">
        <v>912</v>
      </c>
      <c r="L92" s="8" t="s">
        <v>912</v>
      </c>
      <c r="M92" s="8">
        <v>0.11</v>
      </c>
      <c r="N92" s="8"/>
      <c r="O92" s="8"/>
      <c r="P92" s="8">
        <v>17</v>
      </c>
      <c r="Q92" s="8" t="s">
        <v>803</v>
      </c>
      <c r="R92" s="8" t="s">
        <v>956</v>
      </c>
      <c r="S92" s="8" t="s">
        <v>957</v>
      </c>
      <c r="T92" s="8"/>
      <c r="U92" s="8"/>
      <c r="V92" s="8"/>
    </row>
    <row r="93" spans="1:22" x14ac:dyDescent="0.2">
      <c r="A93" s="8" t="s">
        <v>27</v>
      </c>
      <c r="B93" s="8" t="s">
        <v>577</v>
      </c>
      <c r="C93" s="8" t="s">
        <v>754</v>
      </c>
      <c r="D93" s="8">
        <v>9.3299999999999994E-2</v>
      </c>
      <c r="E93" s="8">
        <v>1.8659999999999999</v>
      </c>
      <c r="F93" s="8" t="s">
        <v>659</v>
      </c>
      <c r="G93" s="8">
        <v>17</v>
      </c>
      <c r="H93">
        <f t="shared" si="2"/>
        <v>1.5860999999999998</v>
      </c>
      <c r="I93" t="s">
        <v>913</v>
      </c>
      <c r="L93" s="8" t="s">
        <v>913</v>
      </c>
      <c r="M93" s="8">
        <v>9.3299999999999994E-2</v>
      </c>
      <c r="N93" s="8"/>
      <c r="O93" s="8"/>
      <c r="P93" s="8">
        <v>17</v>
      </c>
      <c r="Q93" s="8" t="s">
        <v>803</v>
      </c>
      <c r="R93" s="8" t="s">
        <v>956</v>
      </c>
      <c r="S93" s="8" t="s">
        <v>957</v>
      </c>
      <c r="T93" s="8"/>
      <c r="U93" s="8"/>
      <c r="V93" s="8"/>
    </row>
    <row r="94" spans="1:22" x14ac:dyDescent="0.2">
      <c r="A94" s="8" t="s">
        <v>172</v>
      </c>
      <c r="B94" s="8" t="s">
        <v>578</v>
      </c>
      <c r="C94" s="8" t="s">
        <v>755</v>
      </c>
      <c r="D94" s="8">
        <v>0.115</v>
      </c>
      <c r="E94" s="8">
        <v>2.3000000000000003</v>
      </c>
      <c r="F94" s="8" t="s">
        <v>659</v>
      </c>
      <c r="G94" s="8">
        <v>17</v>
      </c>
      <c r="H94">
        <f t="shared" si="2"/>
        <v>1.9550000000000001</v>
      </c>
      <c r="I94" t="s">
        <v>914</v>
      </c>
      <c r="L94" s="8" t="s">
        <v>914</v>
      </c>
      <c r="M94" s="8">
        <v>0.115</v>
      </c>
      <c r="N94" s="8"/>
      <c r="O94" s="8"/>
      <c r="P94" s="8">
        <v>17</v>
      </c>
      <c r="Q94" s="8" t="s">
        <v>803</v>
      </c>
      <c r="R94" s="8" t="s">
        <v>956</v>
      </c>
      <c r="S94" s="8" t="s">
        <v>957</v>
      </c>
      <c r="T94" s="8"/>
      <c r="U94" s="8"/>
      <c r="V94" s="8"/>
    </row>
    <row r="95" spans="1:22" x14ac:dyDescent="0.2">
      <c r="A95" s="8" t="s">
        <v>166</v>
      </c>
      <c r="B95" s="8" t="s">
        <v>579</v>
      </c>
      <c r="C95" s="8" t="s">
        <v>756</v>
      </c>
      <c r="D95" s="8">
        <v>0.111</v>
      </c>
      <c r="E95" s="8">
        <v>2.2200000000000002</v>
      </c>
      <c r="F95" s="8" t="s">
        <v>659</v>
      </c>
      <c r="G95" s="8">
        <v>17</v>
      </c>
      <c r="H95">
        <f t="shared" si="2"/>
        <v>1.887</v>
      </c>
      <c r="I95" t="s">
        <v>915</v>
      </c>
      <c r="L95" s="8" t="s">
        <v>915</v>
      </c>
      <c r="M95" s="8">
        <v>0.111</v>
      </c>
      <c r="N95" s="8"/>
      <c r="O95" s="8"/>
      <c r="P95" s="8">
        <v>17</v>
      </c>
      <c r="Q95" s="8" t="s">
        <v>803</v>
      </c>
      <c r="R95" s="8" t="s">
        <v>956</v>
      </c>
      <c r="S95" s="8" t="s">
        <v>957</v>
      </c>
      <c r="T95" s="8"/>
      <c r="U95" s="8"/>
      <c r="V95" s="8"/>
    </row>
    <row r="96" spans="1:22" x14ac:dyDescent="0.2">
      <c r="A96" s="8" t="s">
        <v>16</v>
      </c>
      <c r="B96" s="8" t="s">
        <v>580</v>
      </c>
      <c r="C96" s="8" t="s">
        <v>757</v>
      </c>
      <c r="D96" s="8">
        <v>0.09</v>
      </c>
      <c r="E96" s="8">
        <v>1.7999999999999998</v>
      </c>
      <c r="F96" s="8" t="s">
        <v>659</v>
      </c>
      <c r="G96" s="8">
        <v>17</v>
      </c>
      <c r="H96">
        <f t="shared" si="2"/>
        <v>1.5299999999999998</v>
      </c>
      <c r="I96" t="s">
        <v>916</v>
      </c>
      <c r="L96" s="8" t="s">
        <v>916</v>
      </c>
      <c r="M96" s="8">
        <v>0.09</v>
      </c>
      <c r="N96" s="8"/>
      <c r="O96" s="8"/>
      <c r="P96" s="8">
        <v>17</v>
      </c>
      <c r="Q96" s="8" t="s">
        <v>803</v>
      </c>
      <c r="R96" s="8" t="s">
        <v>956</v>
      </c>
      <c r="S96" s="8" t="s">
        <v>957</v>
      </c>
      <c r="T96" s="8"/>
      <c r="U96" s="8"/>
      <c r="V96" s="8"/>
    </row>
    <row r="97" spans="1:22" x14ac:dyDescent="0.2">
      <c r="A97" s="8" t="s">
        <v>187</v>
      </c>
      <c r="B97" s="8" t="s">
        <v>581</v>
      </c>
      <c r="C97" s="8" t="s">
        <v>758</v>
      </c>
      <c r="D97" s="8">
        <v>6.5299999999999997E-2</v>
      </c>
      <c r="E97" s="8">
        <v>1.306</v>
      </c>
      <c r="F97" s="8" t="s">
        <v>659</v>
      </c>
      <c r="G97" s="8">
        <v>17</v>
      </c>
      <c r="H97">
        <f t="shared" si="2"/>
        <v>1.1101000000000001</v>
      </c>
      <c r="I97" t="s">
        <v>917</v>
      </c>
      <c r="L97" s="8" t="s">
        <v>917</v>
      </c>
      <c r="M97" s="8">
        <v>6.5299999999999997E-2</v>
      </c>
      <c r="N97" s="8"/>
      <c r="O97" s="8"/>
      <c r="P97" s="8">
        <v>17</v>
      </c>
      <c r="Q97" s="8" t="s">
        <v>803</v>
      </c>
      <c r="R97" s="8" t="s">
        <v>956</v>
      </c>
      <c r="S97" s="8" t="s">
        <v>957</v>
      </c>
      <c r="T97" s="8"/>
      <c r="U97" s="8"/>
      <c r="V97" s="8"/>
    </row>
    <row r="98" spans="1:22" x14ac:dyDescent="0.2">
      <c r="A98" s="8" t="s">
        <v>308</v>
      </c>
      <c r="B98" s="8" t="s">
        <v>628</v>
      </c>
      <c r="C98" s="8" t="s">
        <v>759</v>
      </c>
      <c r="D98" s="8">
        <v>9.8699999999999996E-2</v>
      </c>
      <c r="E98" s="8">
        <v>1.974</v>
      </c>
      <c r="F98" s="8" t="s">
        <v>659</v>
      </c>
      <c r="G98" s="8">
        <v>17</v>
      </c>
      <c r="H98">
        <f t="shared" ref="H98:H131" si="3">E98*17/20</f>
        <v>1.6778999999999999</v>
      </c>
      <c r="I98" t="s">
        <v>918</v>
      </c>
      <c r="L98" s="8" t="s">
        <v>918</v>
      </c>
      <c r="M98" s="8">
        <v>9.8699999999999996E-2</v>
      </c>
      <c r="N98" s="8"/>
      <c r="O98" s="8"/>
      <c r="P98" s="8">
        <v>17</v>
      </c>
      <c r="Q98" s="8" t="s">
        <v>803</v>
      </c>
      <c r="R98" s="8" t="s">
        <v>956</v>
      </c>
      <c r="S98" s="8" t="s">
        <v>957</v>
      </c>
      <c r="T98" s="8"/>
      <c r="U98" s="8"/>
      <c r="V98" s="8"/>
    </row>
    <row r="99" spans="1:22" x14ac:dyDescent="0.2">
      <c r="A99" s="8" t="s">
        <v>77</v>
      </c>
      <c r="B99" s="8" t="s">
        <v>582</v>
      </c>
      <c r="C99" s="8" t="s">
        <v>760</v>
      </c>
      <c r="D99" s="8">
        <v>0.123</v>
      </c>
      <c r="E99" s="8">
        <v>2.46</v>
      </c>
      <c r="F99" s="8" t="s">
        <v>659</v>
      </c>
      <c r="G99" s="8">
        <v>17</v>
      </c>
      <c r="H99">
        <f t="shared" si="3"/>
        <v>2.0910000000000002</v>
      </c>
      <c r="I99" t="s">
        <v>919</v>
      </c>
      <c r="L99" s="8" t="s">
        <v>919</v>
      </c>
      <c r="M99" s="8">
        <v>0.123</v>
      </c>
      <c r="N99" s="8"/>
      <c r="O99" s="8"/>
      <c r="P99" s="8">
        <v>17</v>
      </c>
      <c r="Q99" s="8" t="s">
        <v>803</v>
      </c>
      <c r="R99" s="8" t="s">
        <v>956</v>
      </c>
      <c r="S99" s="8" t="s">
        <v>957</v>
      </c>
      <c r="T99" s="8"/>
      <c r="U99" s="8"/>
      <c r="V99" s="8"/>
    </row>
    <row r="100" spans="1:22" x14ac:dyDescent="0.2">
      <c r="A100" s="8" t="s">
        <v>88</v>
      </c>
      <c r="B100" s="8" t="s">
        <v>583</v>
      </c>
      <c r="C100" s="8" t="s">
        <v>761</v>
      </c>
      <c r="D100" s="8">
        <v>0.107</v>
      </c>
      <c r="E100" s="8">
        <v>2.14</v>
      </c>
      <c r="F100" s="8" t="s">
        <v>659</v>
      </c>
      <c r="G100" s="8">
        <v>17</v>
      </c>
      <c r="H100">
        <f t="shared" si="3"/>
        <v>1.8190000000000002</v>
      </c>
      <c r="I100" t="s">
        <v>920</v>
      </c>
      <c r="L100" s="8" t="s">
        <v>920</v>
      </c>
      <c r="M100" s="8">
        <v>0.107</v>
      </c>
      <c r="N100" s="8"/>
      <c r="O100" s="8"/>
      <c r="P100" s="8">
        <v>17</v>
      </c>
      <c r="Q100" s="8" t="s">
        <v>803</v>
      </c>
      <c r="R100" s="8" t="s">
        <v>956</v>
      </c>
      <c r="S100" s="8" t="s">
        <v>957</v>
      </c>
      <c r="T100" s="8"/>
      <c r="U100" s="8"/>
      <c r="V100" s="8"/>
    </row>
    <row r="101" spans="1:22" x14ac:dyDescent="0.2">
      <c r="A101" s="8" t="s">
        <v>314</v>
      </c>
      <c r="B101" s="8" t="s">
        <v>629</v>
      </c>
      <c r="C101" s="8" t="s">
        <v>502</v>
      </c>
      <c r="D101" s="8">
        <v>0.14000000000000001</v>
      </c>
      <c r="E101" s="8">
        <v>2.8000000000000003</v>
      </c>
      <c r="F101" s="8" t="s">
        <v>659</v>
      </c>
      <c r="G101" s="8">
        <v>17</v>
      </c>
      <c r="H101">
        <f t="shared" si="3"/>
        <v>2.38</v>
      </c>
      <c r="I101" t="s">
        <v>921</v>
      </c>
      <c r="L101" s="8" t="s">
        <v>921</v>
      </c>
      <c r="M101" s="8">
        <v>0.14000000000000001</v>
      </c>
      <c r="N101" s="8"/>
      <c r="O101" s="8"/>
      <c r="P101" s="8">
        <v>17</v>
      </c>
      <c r="Q101" s="8" t="s">
        <v>803</v>
      </c>
      <c r="R101" s="8" t="s">
        <v>956</v>
      </c>
      <c r="S101" s="8" t="s">
        <v>957</v>
      </c>
      <c r="T101" s="8"/>
      <c r="U101" s="8"/>
      <c r="V101" s="8"/>
    </row>
    <row r="102" spans="1:22" x14ac:dyDescent="0.2">
      <c r="A102" s="8" t="s">
        <v>368</v>
      </c>
      <c r="B102" s="8" t="s">
        <v>630</v>
      </c>
      <c r="C102" s="8" t="s">
        <v>503</v>
      </c>
      <c r="D102" s="8">
        <v>0.13200000000000001</v>
      </c>
      <c r="E102" s="8">
        <v>2.64</v>
      </c>
      <c r="F102" s="8" t="s">
        <v>659</v>
      </c>
      <c r="G102" s="8">
        <v>17</v>
      </c>
      <c r="H102">
        <f t="shared" si="3"/>
        <v>2.2440000000000002</v>
      </c>
      <c r="I102" t="s">
        <v>922</v>
      </c>
      <c r="L102" s="8" t="s">
        <v>922</v>
      </c>
      <c r="M102" s="8">
        <v>0.13200000000000001</v>
      </c>
      <c r="N102" s="8"/>
      <c r="O102" s="8"/>
      <c r="P102" s="8">
        <v>17</v>
      </c>
      <c r="Q102" s="8" t="s">
        <v>803</v>
      </c>
      <c r="R102" s="8" t="s">
        <v>956</v>
      </c>
      <c r="S102" s="8" t="s">
        <v>957</v>
      </c>
      <c r="T102" s="8"/>
      <c r="U102" s="8"/>
      <c r="V102" s="8"/>
    </row>
    <row r="103" spans="1:22" x14ac:dyDescent="0.2">
      <c r="A103" s="8" t="s">
        <v>109</v>
      </c>
      <c r="B103" s="8" t="s">
        <v>584</v>
      </c>
      <c r="C103" s="8" t="s">
        <v>762</v>
      </c>
      <c r="D103" s="8">
        <v>0.153</v>
      </c>
      <c r="E103" s="8">
        <v>3.06</v>
      </c>
      <c r="F103" s="8" t="s">
        <v>659</v>
      </c>
      <c r="G103" s="8">
        <v>17</v>
      </c>
      <c r="H103">
        <f t="shared" si="3"/>
        <v>2.601</v>
      </c>
      <c r="I103" t="s">
        <v>923</v>
      </c>
      <c r="L103" s="8" t="s">
        <v>923</v>
      </c>
      <c r="M103" s="8">
        <v>0.153</v>
      </c>
      <c r="N103" s="8"/>
      <c r="O103" s="8"/>
      <c r="P103" s="8">
        <v>17</v>
      </c>
      <c r="Q103" s="8" t="s">
        <v>803</v>
      </c>
      <c r="R103" s="8" t="s">
        <v>956</v>
      </c>
      <c r="S103" s="8" t="s">
        <v>957</v>
      </c>
      <c r="T103" s="8"/>
      <c r="U103" s="8"/>
      <c r="V103" s="8"/>
    </row>
    <row r="104" spans="1:22" x14ac:dyDescent="0.2">
      <c r="A104" s="8" t="s">
        <v>242</v>
      </c>
      <c r="B104" s="8" t="s">
        <v>631</v>
      </c>
      <c r="C104" s="8" t="s">
        <v>763</v>
      </c>
      <c r="D104" s="8">
        <v>0.13600000000000001</v>
      </c>
      <c r="E104" s="8">
        <v>2.72</v>
      </c>
      <c r="F104" s="8" t="s">
        <v>659</v>
      </c>
      <c r="G104" s="8">
        <v>17</v>
      </c>
      <c r="H104">
        <f t="shared" si="3"/>
        <v>2.3120000000000003</v>
      </c>
      <c r="I104" t="s">
        <v>924</v>
      </c>
      <c r="L104" s="8" t="s">
        <v>924</v>
      </c>
      <c r="M104" s="8">
        <v>0.13600000000000001</v>
      </c>
      <c r="N104" s="8"/>
      <c r="O104" s="8"/>
      <c r="P104" s="8">
        <v>17</v>
      </c>
      <c r="Q104" s="8" t="s">
        <v>803</v>
      </c>
      <c r="R104" s="8" t="s">
        <v>956</v>
      </c>
      <c r="S104" s="8" t="s">
        <v>957</v>
      </c>
      <c r="T104" s="8"/>
      <c r="U104" s="8"/>
      <c r="V104" s="8"/>
    </row>
    <row r="105" spans="1:22" x14ac:dyDescent="0.2">
      <c r="A105" s="8" t="s">
        <v>299</v>
      </c>
      <c r="B105" s="8" t="s">
        <v>632</v>
      </c>
      <c r="C105" s="8" t="s">
        <v>764</v>
      </c>
      <c r="D105" s="8">
        <v>0.115</v>
      </c>
      <c r="E105" s="8">
        <v>2.3000000000000003</v>
      </c>
      <c r="F105" s="8" t="s">
        <v>659</v>
      </c>
      <c r="G105" s="8">
        <v>17</v>
      </c>
      <c r="H105">
        <f t="shared" si="3"/>
        <v>1.9550000000000001</v>
      </c>
      <c r="I105" t="s">
        <v>925</v>
      </c>
      <c r="L105" s="8" t="s">
        <v>925</v>
      </c>
      <c r="M105" s="8">
        <v>0.115</v>
      </c>
      <c r="N105" s="8"/>
      <c r="O105" s="8"/>
      <c r="P105" s="8">
        <v>17</v>
      </c>
      <c r="Q105" s="8" t="s">
        <v>803</v>
      </c>
      <c r="R105" s="8" t="s">
        <v>956</v>
      </c>
      <c r="S105" s="8" t="s">
        <v>957</v>
      </c>
      <c r="T105" s="8"/>
      <c r="U105" s="8"/>
      <c r="V105" s="8"/>
    </row>
    <row r="106" spans="1:22" x14ac:dyDescent="0.2">
      <c r="A106" s="8" t="s">
        <v>100</v>
      </c>
      <c r="B106" s="8" t="s">
        <v>585</v>
      </c>
      <c r="C106" s="8" t="s">
        <v>765</v>
      </c>
      <c r="D106" s="8">
        <v>0.17199999999999999</v>
      </c>
      <c r="E106" s="8">
        <v>3.4399999999999995</v>
      </c>
      <c r="F106" s="8" t="s">
        <v>659</v>
      </c>
      <c r="G106" s="8">
        <v>17</v>
      </c>
      <c r="H106">
        <f t="shared" si="3"/>
        <v>2.9239999999999995</v>
      </c>
      <c r="I106" t="s">
        <v>926</v>
      </c>
      <c r="L106" s="8" t="s">
        <v>926</v>
      </c>
      <c r="M106" s="8">
        <v>0.17199999999999999</v>
      </c>
      <c r="N106" s="8"/>
      <c r="O106" s="8"/>
      <c r="P106" s="8">
        <v>17</v>
      </c>
      <c r="Q106" s="8" t="s">
        <v>803</v>
      </c>
      <c r="R106" s="8" t="s">
        <v>956</v>
      </c>
      <c r="S106" s="8" t="s">
        <v>957</v>
      </c>
      <c r="T106" s="8"/>
      <c r="U106" s="8"/>
      <c r="V106" s="8"/>
    </row>
    <row r="107" spans="1:22" x14ac:dyDescent="0.2">
      <c r="A107" s="8" t="s">
        <v>278</v>
      </c>
      <c r="B107" s="8" t="s">
        <v>633</v>
      </c>
      <c r="C107" s="8" t="s">
        <v>766</v>
      </c>
      <c r="D107" s="8">
        <v>0.182</v>
      </c>
      <c r="E107" s="8">
        <v>3.6399999999999997</v>
      </c>
      <c r="F107" s="8" t="s">
        <v>659</v>
      </c>
      <c r="G107" s="8">
        <v>17</v>
      </c>
      <c r="H107">
        <f t="shared" si="3"/>
        <v>3.0939999999999999</v>
      </c>
      <c r="I107" t="s">
        <v>927</v>
      </c>
      <c r="L107" s="8" t="s">
        <v>927</v>
      </c>
      <c r="M107" s="8">
        <v>0.182</v>
      </c>
      <c r="N107" s="8"/>
      <c r="O107" s="8"/>
      <c r="P107" s="8">
        <v>17</v>
      </c>
      <c r="Q107" s="8" t="s">
        <v>803</v>
      </c>
      <c r="R107" s="8" t="s">
        <v>956</v>
      </c>
      <c r="S107" s="8" t="s">
        <v>957</v>
      </c>
      <c r="T107" s="8"/>
      <c r="U107" s="8"/>
      <c r="V107" s="8"/>
    </row>
    <row r="108" spans="1:22" x14ac:dyDescent="0.2">
      <c r="A108" s="8" t="s">
        <v>332</v>
      </c>
      <c r="B108" s="8" t="s">
        <v>634</v>
      </c>
      <c r="C108" s="8" t="s">
        <v>767</v>
      </c>
      <c r="D108" s="8">
        <v>0.217</v>
      </c>
      <c r="E108" s="8">
        <v>4.34</v>
      </c>
      <c r="F108" s="8" t="s">
        <v>659</v>
      </c>
      <c r="G108" s="8">
        <v>17</v>
      </c>
      <c r="H108">
        <f t="shared" si="3"/>
        <v>3.6890000000000001</v>
      </c>
      <c r="I108" t="s">
        <v>928</v>
      </c>
      <c r="L108" s="8" t="s">
        <v>928</v>
      </c>
      <c r="M108" s="8">
        <v>0.217</v>
      </c>
      <c r="N108" s="8"/>
      <c r="O108" s="8"/>
      <c r="P108" s="8">
        <v>17</v>
      </c>
      <c r="Q108" s="8" t="s">
        <v>803</v>
      </c>
      <c r="R108" s="8" t="s">
        <v>956</v>
      </c>
      <c r="S108" s="8" t="s">
        <v>957</v>
      </c>
      <c r="T108" s="8"/>
      <c r="U108" s="8"/>
      <c r="V108" s="8"/>
    </row>
    <row r="109" spans="1:22" x14ac:dyDescent="0.2">
      <c r="A109" s="8" t="s">
        <v>63</v>
      </c>
      <c r="B109" s="8" t="s">
        <v>586</v>
      </c>
      <c r="C109" s="8" t="s">
        <v>768</v>
      </c>
      <c r="D109" s="8">
        <v>0.17100000000000001</v>
      </c>
      <c r="E109" s="8">
        <v>3.4200000000000004</v>
      </c>
      <c r="F109" s="8" t="s">
        <v>659</v>
      </c>
      <c r="G109" s="8">
        <v>17</v>
      </c>
      <c r="H109">
        <f t="shared" si="3"/>
        <v>2.9070000000000005</v>
      </c>
      <c r="I109" t="s">
        <v>929</v>
      </c>
      <c r="L109" s="8" t="s">
        <v>929</v>
      </c>
      <c r="M109" s="8">
        <v>0.17100000000000001</v>
      </c>
      <c r="N109" s="8"/>
      <c r="O109" s="8"/>
      <c r="P109" s="8">
        <v>17</v>
      </c>
      <c r="Q109" s="8" t="s">
        <v>803</v>
      </c>
      <c r="R109" s="8" t="s">
        <v>956</v>
      </c>
      <c r="S109" s="8" t="s">
        <v>957</v>
      </c>
      <c r="T109" s="8"/>
      <c r="U109" s="8"/>
      <c r="V109" s="8"/>
    </row>
    <row r="110" spans="1:22" x14ac:dyDescent="0.2">
      <c r="A110" s="8" t="s">
        <v>338</v>
      </c>
      <c r="B110" s="8" t="s">
        <v>635</v>
      </c>
      <c r="C110" s="8" t="s">
        <v>769</v>
      </c>
      <c r="D110" s="8">
        <v>0.158</v>
      </c>
      <c r="E110" s="8">
        <v>3.16</v>
      </c>
      <c r="F110" s="8" t="s">
        <v>659</v>
      </c>
      <c r="G110" s="8">
        <v>17</v>
      </c>
      <c r="H110">
        <f t="shared" si="3"/>
        <v>2.6859999999999999</v>
      </c>
      <c r="I110" t="s">
        <v>930</v>
      </c>
      <c r="L110" s="8" t="s">
        <v>930</v>
      </c>
      <c r="M110" s="8">
        <v>0.158</v>
      </c>
      <c r="N110" s="8"/>
      <c r="O110" s="8"/>
      <c r="P110" s="8">
        <v>17</v>
      </c>
      <c r="Q110" s="8" t="s">
        <v>803</v>
      </c>
      <c r="R110" s="8" t="s">
        <v>956</v>
      </c>
      <c r="S110" s="8" t="s">
        <v>957</v>
      </c>
      <c r="T110" s="8"/>
      <c r="U110" s="8"/>
      <c r="V110" s="8"/>
    </row>
    <row r="111" spans="1:22" x14ac:dyDescent="0.2">
      <c r="A111" s="8" t="s">
        <v>163</v>
      </c>
      <c r="B111" s="8" t="s">
        <v>587</v>
      </c>
      <c r="C111" s="8" t="s">
        <v>770</v>
      </c>
      <c r="D111" s="8">
        <v>0.157</v>
      </c>
      <c r="E111" s="8">
        <v>3.14</v>
      </c>
      <c r="F111" s="8" t="s">
        <v>659</v>
      </c>
      <c r="G111" s="8">
        <v>17</v>
      </c>
      <c r="H111">
        <f t="shared" si="3"/>
        <v>2.669</v>
      </c>
      <c r="I111" t="s">
        <v>931</v>
      </c>
      <c r="L111" s="8" t="s">
        <v>931</v>
      </c>
      <c r="M111" s="8">
        <v>0.157</v>
      </c>
      <c r="N111" s="8"/>
      <c r="O111" s="8"/>
      <c r="P111" s="8">
        <v>17</v>
      </c>
      <c r="Q111" s="8" t="s">
        <v>803</v>
      </c>
      <c r="R111" s="8" t="s">
        <v>956</v>
      </c>
      <c r="S111" s="8" t="s">
        <v>957</v>
      </c>
      <c r="T111" s="8"/>
      <c r="U111" s="8"/>
      <c r="V111" s="8"/>
    </row>
    <row r="112" spans="1:22" x14ac:dyDescent="0.2">
      <c r="A112" s="8" t="s">
        <v>29</v>
      </c>
      <c r="B112" s="8" t="s">
        <v>588</v>
      </c>
      <c r="C112" s="8" t="s">
        <v>771</v>
      </c>
      <c r="D112" s="8">
        <v>0.10100000000000001</v>
      </c>
      <c r="E112" s="8">
        <v>2.02</v>
      </c>
      <c r="F112" s="8" t="s">
        <v>659</v>
      </c>
      <c r="G112" s="8">
        <v>17</v>
      </c>
      <c r="H112">
        <f t="shared" si="3"/>
        <v>1.7170000000000001</v>
      </c>
      <c r="I112" t="s">
        <v>932</v>
      </c>
      <c r="L112" s="8" t="s">
        <v>932</v>
      </c>
      <c r="M112" s="8">
        <v>0.10100000000000001</v>
      </c>
      <c r="N112" s="8"/>
      <c r="O112" s="8"/>
      <c r="P112" s="8">
        <v>17</v>
      </c>
      <c r="Q112" s="8" t="s">
        <v>803</v>
      </c>
      <c r="R112" s="8" t="s">
        <v>956</v>
      </c>
      <c r="S112" s="8" t="s">
        <v>957</v>
      </c>
      <c r="T112" s="8"/>
      <c r="U112" s="8"/>
      <c r="V112" s="8"/>
    </row>
    <row r="113" spans="1:22" x14ac:dyDescent="0.2">
      <c r="A113" s="8" t="s">
        <v>353</v>
      </c>
      <c r="B113" s="8" t="s">
        <v>636</v>
      </c>
      <c r="C113" s="8" t="s">
        <v>772</v>
      </c>
      <c r="D113" s="8">
        <v>0.17299999999999999</v>
      </c>
      <c r="E113" s="8">
        <v>3.46</v>
      </c>
      <c r="F113" s="8" t="s">
        <v>659</v>
      </c>
      <c r="G113" s="8">
        <v>17</v>
      </c>
      <c r="H113">
        <f t="shared" si="3"/>
        <v>2.9409999999999998</v>
      </c>
      <c r="I113" t="s">
        <v>933</v>
      </c>
      <c r="L113" s="8" t="s">
        <v>933</v>
      </c>
      <c r="M113" s="8">
        <v>0.17299999999999999</v>
      </c>
      <c r="N113" s="8"/>
      <c r="O113" s="8"/>
      <c r="P113" s="8">
        <v>17</v>
      </c>
      <c r="Q113" s="8" t="s">
        <v>803</v>
      </c>
      <c r="R113" s="8" t="s">
        <v>956</v>
      </c>
      <c r="S113" s="8" t="s">
        <v>957</v>
      </c>
      <c r="T113" s="8"/>
      <c r="U113" s="8"/>
      <c r="V113" s="8"/>
    </row>
    <row r="114" spans="1:22" x14ac:dyDescent="0.2">
      <c r="A114" s="8" t="s">
        <v>392</v>
      </c>
      <c r="B114" s="8" t="s">
        <v>638</v>
      </c>
      <c r="C114" s="8" t="s">
        <v>773</v>
      </c>
      <c r="D114" s="8">
        <v>0.11700000000000001</v>
      </c>
      <c r="E114" s="8">
        <v>2.3400000000000003</v>
      </c>
      <c r="F114" s="8" t="s">
        <v>659</v>
      </c>
      <c r="G114" s="8">
        <v>17</v>
      </c>
      <c r="H114">
        <f t="shared" si="3"/>
        <v>1.9890000000000003</v>
      </c>
      <c r="I114" t="s">
        <v>934</v>
      </c>
      <c r="L114" s="8" t="s">
        <v>934</v>
      </c>
      <c r="M114" s="8">
        <v>0.11700000000000001</v>
      </c>
      <c r="N114" s="8"/>
      <c r="O114" s="8"/>
      <c r="P114" s="8">
        <v>17</v>
      </c>
      <c r="Q114" s="8" t="s">
        <v>803</v>
      </c>
      <c r="R114" s="8" t="s">
        <v>956</v>
      </c>
      <c r="S114" s="8" t="s">
        <v>957</v>
      </c>
      <c r="T114" s="8"/>
      <c r="U114" s="8"/>
      <c r="V114" s="8"/>
    </row>
    <row r="115" spans="1:22" x14ac:dyDescent="0.2">
      <c r="A115" s="8" t="s">
        <v>136</v>
      </c>
      <c r="B115" s="8" t="s">
        <v>589</v>
      </c>
      <c r="C115" s="8" t="s">
        <v>774</v>
      </c>
      <c r="D115" s="8">
        <v>0.125</v>
      </c>
      <c r="E115" s="8">
        <v>2.5</v>
      </c>
      <c r="F115" s="8" t="s">
        <v>659</v>
      </c>
      <c r="G115" s="8">
        <v>17</v>
      </c>
      <c r="H115">
        <f t="shared" si="3"/>
        <v>2.125</v>
      </c>
      <c r="I115" t="s">
        <v>935</v>
      </c>
      <c r="L115" s="8" t="s">
        <v>935</v>
      </c>
      <c r="M115" s="8">
        <v>0.125</v>
      </c>
      <c r="N115" s="8"/>
      <c r="O115" s="8"/>
      <c r="P115" s="8">
        <v>17</v>
      </c>
      <c r="Q115" s="8" t="s">
        <v>803</v>
      </c>
      <c r="R115" s="8" t="s">
        <v>956</v>
      </c>
      <c r="S115" s="8" t="s">
        <v>957</v>
      </c>
      <c r="T115" s="8"/>
      <c r="U115" s="8"/>
      <c r="V115" s="8"/>
    </row>
    <row r="116" spans="1:22" x14ac:dyDescent="0.2">
      <c r="A116" s="8" t="s">
        <v>175</v>
      </c>
      <c r="B116" s="8" t="s">
        <v>590</v>
      </c>
      <c r="C116" s="8" t="s">
        <v>775</v>
      </c>
      <c r="D116" s="8">
        <v>0.13300000000000001</v>
      </c>
      <c r="E116" s="8">
        <v>2.66</v>
      </c>
      <c r="F116" s="8" t="s">
        <v>659</v>
      </c>
      <c r="G116" s="8">
        <v>17</v>
      </c>
      <c r="H116">
        <f t="shared" si="3"/>
        <v>2.2610000000000001</v>
      </c>
      <c r="I116" t="s">
        <v>936</v>
      </c>
      <c r="L116" s="8" t="s">
        <v>936</v>
      </c>
      <c r="M116" s="8">
        <v>0.13300000000000001</v>
      </c>
      <c r="N116" s="8"/>
      <c r="O116" s="8"/>
      <c r="P116" s="8">
        <v>17</v>
      </c>
      <c r="Q116" s="8" t="s">
        <v>803</v>
      </c>
      <c r="R116" s="8" t="s">
        <v>956</v>
      </c>
      <c r="S116" s="8" t="s">
        <v>957</v>
      </c>
      <c r="T116" s="8"/>
      <c r="U116" s="8"/>
      <c r="V116" s="8"/>
    </row>
    <row r="117" spans="1:22" x14ac:dyDescent="0.2">
      <c r="A117" s="8" t="s">
        <v>335</v>
      </c>
      <c r="B117" s="8" t="s">
        <v>639</v>
      </c>
      <c r="C117" s="8" t="s">
        <v>776</v>
      </c>
      <c r="D117" s="8">
        <v>7.3300000000000004E-2</v>
      </c>
      <c r="E117" s="8">
        <v>1.4660000000000002</v>
      </c>
      <c r="F117" s="8" t="s">
        <v>659</v>
      </c>
      <c r="G117" s="8">
        <v>17</v>
      </c>
      <c r="H117">
        <f t="shared" si="3"/>
        <v>1.2461000000000002</v>
      </c>
      <c r="I117" t="s">
        <v>937</v>
      </c>
      <c r="L117" s="8" t="s">
        <v>937</v>
      </c>
      <c r="M117" s="8">
        <v>7.3300000000000004E-2</v>
      </c>
      <c r="N117" s="8"/>
      <c r="O117" s="8"/>
      <c r="P117" s="8">
        <v>17</v>
      </c>
      <c r="Q117" s="8" t="s">
        <v>803</v>
      </c>
      <c r="R117" s="8" t="s">
        <v>956</v>
      </c>
      <c r="S117" s="8" t="s">
        <v>957</v>
      </c>
      <c r="T117" s="8"/>
      <c r="U117" s="8"/>
      <c r="V117" s="8"/>
    </row>
    <row r="118" spans="1:22" x14ac:dyDescent="0.2">
      <c r="A118" s="8" t="s">
        <v>359</v>
      </c>
      <c r="B118" s="8" t="s">
        <v>640</v>
      </c>
      <c r="C118" s="8" t="s">
        <v>777</v>
      </c>
      <c r="D118" s="8">
        <v>0.14699999999999999</v>
      </c>
      <c r="E118" s="8">
        <v>2.94</v>
      </c>
      <c r="F118" s="8" t="s">
        <v>659</v>
      </c>
      <c r="G118" s="8">
        <v>17</v>
      </c>
      <c r="H118">
        <f t="shared" si="3"/>
        <v>2.4989999999999997</v>
      </c>
      <c r="I118" t="s">
        <v>938</v>
      </c>
      <c r="L118" s="8" t="s">
        <v>938</v>
      </c>
      <c r="M118" s="8">
        <v>0.14699999999999999</v>
      </c>
      <c r="N118" s="8"/>
      <c r="O118" s="8"/>
      <c r="P118" s="8">
        <v>17</v>
      </c>
      <c r="Q118" s="8" t="s">
        <v>803</v>
      </c>
      <c r="R118" s="8" t="s">
        <v>956</v>
      </c>
      <c r="S118" s="8" t="s">
        <v>957</v>
      </c>
      <c r="T118" s="8"/>
      <c r="U118" s="8"/>
      <c r="V118" s="8"/>
    </row>
    <row r="119" spans="1:22" x14ac:dyDescent="0.2">
      <c r="A119" s="8" t="s">
        <v>55</v>
      </c>
      <c r="B119" s="8" t="s">
        <v>591</v>
      </c>
      <c r="C119" s="8" t="s">
        <v>778</v>
      </c>
      <c r="D119" s="8">
        <v>0.107</v>
      </c>
      <c r="E119" s="8">
        <v>2.14</v>
      </c>
      <c r="F119" s="8" t="s">
        <v>659</v>
      </c>
      <c r="G119" s="8">
        <v>17</v>
      </c>
      <c r="H119">
        <f t="shared" si="3"/>
        <v>1.8190000000000002</v>
      </c>
      <c r="I119" t="s">
        <v>939</v>
      </c>
      <c r="L119" s="8" t="s">
        <v>939</v>
      </c>
      <c r="M119" s="8">
        <v>0.107</v>
      </c>
      <c r="N119" s="8"/>
      <c r="O119" s="8"/>
      <c r="P119" s="8">
        <v>17</v>
      </c>
      <c r="Q119" s="8" t="s">
        <v>803</v>
      </c>
      <c r="R119" s="8" t="s">
        <v>956</v>
      </c>
      <c r="S119" s="8" t="s">
        <v>957</v>
      </c>
      <c r="T119" s="8"/>
      <c r="U119" s="8"/>
      <c r="V119" s="8"/>
    </row>
    <row r="120" spans="1:22" x14ac:dyDescent="0.2">
      <c r="A120" s="8" t="s">
        <v>130</v>
      </c>
      <c r="B120" s="8" t="s">
        <v>592</v>
      </c>
      <c r="C120" s="8" t="s">
        <v>779</v>
      </c>
      <c r="D120" s="8">
        <v>8.4699999999999998E-2</v>
      </c>
      <c r="E120" s="8">
        <v>1.694</v>
      </c>
      <c r="F120" s="8" t="s">
        <v>659</v>
      </c>
      <c r="G120" s="8">
        <v>17</v>
      </c>
      <c r="H120">
        <f t="shared" si="3"/>
        <v>1.4399</v>
      </c>
      <c r="I120" t="s">
        <v>940</v>
      </c>
      <c r="L120" s="8" t="s">
        <v>940</v>
      </c>
      <c r="M120" s="8">
        <v>8.4699999999999998E-2</v>
      </c>
      <c r="N120" s="8"/>
      <c r="O120" s="8"/>
      <c r="P120" s="8">
        <v>17</v>
      </c>
      <c r="Q120" s="8" t="s">
        <v>803</v>
      </c>
      <c r="R120" s="8" t="s">
        <v>956</v>
      </c>
      <c r="S120" s="8" t="s">
        <v>957</v>
      </c>
      <c r="T120" s="8"/>
      <c r="U120" s="8"/>
      <c r="V120" s="8"/>
    </row>
    <row r="121" spans="1:22" x14ac:dyDescent="0.2">
      <c r="A121" s="8" t="s">
        <v>347</v>
      </c>
      <c r="B121" s="8" t="s">
        <v>641</v>
      </c>
      <c r="C121" s="8" t="s">
        <v>780</v>
      </c>
      <c r="D121" s="8">
        <v>0.11700000000000001</v>
      </c>
      <c r="E121" s="8">
        <v>2.3400000000000003</v>
      </c>
      <c r="F121" s="8" t="s">
        <v>659</v>
      </c>
      <c r="G121" s="8">
        <v>17</v>
      </c>
      <c r="H121">
        <f t="shared" si="3"/>
        <v>1.9890000000000003</v>
      </c>
      <c r="I121" t="s">
        <v>941</v>
      </c>
      <c r="L121" s="8" t="s">
        <v>941</v>
      </c>
      <c r="M121" s="8">
        <v>0.11700000000000001</v>
      </c>
      <c r="N121" s="8"/>
      <c r="O121" s="8"/>
      <c r="P121" s="8">
        <v>17</v>
      </c>
      <c r="Q121" s="8" t="s">
        <v>803</v>
      </c>
      <c r="R121" s="8" t="s">
        <v>956</v>
      </c>
      <c r="S121" s="8" t="s">
        <v>957</v>
      </c>
      <c r="T121" s="8"/>
      <c r="U121" s="8"/>
      <c r="V121" s="8"/>
    </row>
    <row r="122" spans="1:22" x14ac:dyDescent="0.2">
      <c r="A122" s="8" t="s">
        <v>20</v>
      </c>
      <c r="B122" s="8" t="s">
        <v>593</v>
      </c>
      <c r="C122" s="8" t="s">
        <v>781</v>
      </c>
      <c r="D122" s="8">
        <v>9.0700000000000003E-2</v>
      </c>
      <c r="E122" s="8">
        <v>1.8140000000000001</v>
      </c>
      <c r="F122" s="8" t="s">
        <v>659</v>
      </c>
      <c r="G122" s="8">
        <v>17</v>
      </c>
      <c r="H122">
        <f t="shared" si="3"/>
        <v>1.5419</v>
      </c>
      <c r="I122" t="s">
        <v>942</v>
      </c>
      <c r="L122" s="8" t="s">
        <v>942</v>
      </c>
      <c r="M122" s="8">
        <v>9.0700000000000003E-2</v>
      </c>
      <c r="N122" s="8"/>
      <c r="O122" s="8"/>
      <c r="P122" s="8">
        <v>17</v>
      </c>
      <c r="Q122" s="8" t="s">
        <v>803</v>
      </c>
      <c r="R122" s="8" t="s">
        <v>956</v>
      </c>
      <c r="S122" s="8" t="s">
        <v>957</v>
      </c>
      <c r="T122" s="8"/>
      <c r="U122" s="8"/>
      <c r="V122" s="8"/>
    </row>
    <row r="123" spans="1:22" x14ac:dyDescent="0.2">
      <c r="A123" s="8" t="s">
        <v>275</v>
      </c>
      <c r="B123" s="8" t="s">
        <v>642</v>
      </c>
      <c r="C123" s="8" t="s">
        <v>782</v>
      </c>
      <c r="D123" s="8">
        <v>0.13200000000000001</v>
      </c>
      <c r="E123" s="8">
        <v>2.64</v>
      </c>
      <c r="F123" s="8" t="s">
        <v>659</v>
      </c>
      <c r="G123" s="8">
        <v>17</v>
      </c>
      <c r="H123">
        <f t="shared" si="3"/>
        <v>2.2440000000000002</v>
      </c>
      <c r="I123" t="s">
        <v>943</v>
      </c>
      <c r="L123" s="8" t="s">
        <v>943</v>
      </c>
      <c r="M123" s="8">
        <v>0.13200000000000001</v>
      </c>
      <c r="N123" s="8"/>
      <c r="O123" s="8"/>
      <c r="P123" s="8">
        <v>17</v>
      </c>
      <c r="Q123" s="8" t="s">
        <v>803</v>
      </c>
      <c r="R123" s="8" t="s">
        <v>956</v>
      </c>
      <c r="S123" s="8" t="s">
        <v>957</v>
      </c>
      <c r="T123" s="8"/>
      <c r="U123" s="8"/>
      <c r="V123" s="8"/>
    </row>
    <row r="124" spans="1:22" x14ac:dyDescent="0.2">
      <c r="A124" s="8" t="s">
        <v>217</v>
      </c>
      <c r="B124" s="8" t="s">
        <v>643</v>
      </c>
      <c r="C124" s="8" t="s">
        <v>783</v>
      </c>
      <c r="D124" s="8">
        <v>0.114</v>
      </c>
      <c r="E124" s="8">
        <v>2.2800000000000002</v>
      </c>
      <c r="F124" s="8" t="s">
        <v>659</v>
      </c>
      <c r="G124" s="8">
        <v>17</v>
      </c>
      <c r="H124">
        <f t="shared" si="3"/>
        <v>1.9380000000000002</v>
      </c>
      <c r="I124" t="s">
        <v>944</v>
      </c>
      <c r="L124" s="8" t="s">
        <v>944</v>
      </c>
      <c r="M124" s="8">
        <v>0.114</v>
      </c>
      <c r="N124" s="8"/>
      <c r="O124" s="8"/>
      <c r="P124" s="8">
        <v>17</v>
      </c>
      <c r="Q124" s="8" t="s">
        <v>803</v>
      </c>
      <c r="R124" s="8" t="s">
        <v>956</v>
      </c>
      <c r="S124" s="8" t="s">
        <v>957</v>
      </c>
      <c r="T124" s="8"/>
      <c r="U124" s="8"/>
      <c r="V124" s="8"/>
    </row>
    <row r="125" spans="1:22" x14ac:dyDescent="0.2">
      <c r="A125" s="8" t="s">
        <v>31</v>
      </c>
      <c r="B125" s="8" t="s">
        <v>594</v>
      </c>
      <c r="C125" s="8" t="s">
        <v>784</v>
      </c>
      <c r="D125" s="8">
        <v>9.4700000000000006E-2</v>
      </c>
      <c r="E125" s="8">
        <v>1.8940000000000001</v>
      </c>
      <c r="F125" s="8" t="s">
        <v>659</v>
      </c>
      <c r="G125" s="8">
        <v>17</v>
      </c>
      <c r="H125">
        <f t="shared" si="3"/>
        <v>1.6099000000000001</v>
      </c>
      <c r="I125" t="s">
        <v>945</v>
      </c>
      <c r="L125" s="8" t="s">
        <v>945</v>
      </c>
      <c r="M125" s="8">
        <v>9.4700000000000006E-2</v>
      </c>
      <c r="N125" s="8"/>
      <c r="O125" s="8"/>
      <c r="P125" s="8">
        <v>17</v>
      </c>
      <c r="Q125" s="8" t="s">
        <v>803</v>
      </c>
      <c r="R125" s="8" t="s">
        <v>956</v>
      </c>
      <c r="S125" s="8" t="s">
        <v>957</v>
      </c>
      <c r="T125" s="8"/>
      <c r="U125" s="8"/>
      <c r="V125" s="8"/>
    </row>
    <row r="126" spans="1:22" x14ac:dyDescent="0.2">
      <c r="A126" s="8" t="s">
        <v>160</v>
      </c>
      <c r="B126" s="8" t="s">
        <v>596</v>
      </c>
      <c r="C126" s="8" t="s">
        <v>785</v>
      </c>
      <c r="D126" s="8">
        <v>7.7299999999999994E-2</v>
      </c>
      <c r="E126" s="8">
        <v>1.5459999999999998</v>
      </c>
      <c r="F126" s="8" t="s">
        <v>659</v>
      </c>
      <c r="G126" s="8">
        <v>17</v>
      </c>
      <c r="H126">
        <f t="shared" si="3"/>
        <v>1.3140999999999998</v>
      </c>
      <c r="I126" t="s">
        <v>946</v>
      </c>
      <c r="L126" s="8" t="s">
        <v>946</v>
      </c>
      <c r="M126" s="8">
        <v>7.7299999999999994E-2</v>
      </c>
      <c r="N126" s="8"/>
      <c r="O126" s="8"/>
      <c r="P126" s="8">
        <v>17</v>
      </c>
      <c r="Q126" s="8" t="s">
        <v>803</v>
      </c>
      <c r="R126" s="8" t="s">
        <v>956</v>
      </c>
      <c r="S126" s="8" t="s">
        <v>957</v>
      </c>
      <c r="T126" s="8"/>
      <c r="U126" s="8"/>
      <c r="V126" s="8"/>
    </row>
    <row r="127" spans="1:22" x14ac:dyDescent="0.2">
      <c r="A127" s="8" t="s">
        <v>233</v>
      </c>
      <c r="B127" s="8" t="s">
        <v>644</v>
      </c>
      <c r="C127" s="8" t="s">
        <v>786</v>
      </c>
      <c r="D127" s="8">
        <v>0.11899999999999999</v>
      </c>
      <c r="E127" s="8">
        <v>2.38</v>
      </c>
      <c r="F127" s="8" t="s">
        <v>659</v>
      </c>
      <c r="G127" s="8">
        <v>17</v>
      </c>
      <c r="H127">
        <f t="shared" si="3"/>
        <v>2.0230000000000001</v>
      </c>
      <c r="I127" t="s">
        <v>947</v>
      </c>
      <c r="L127" s="8" t="s">
        <v>947</v>
      </c>
      <c r="M127" s="8">
        <v>0.11899999999999999</v>
      </c>
      <c r="N127" s="8"/>
      <c r="O127" s="8"/>
      <c r="P127" s="8">
        <v>17</v>
      </c>
      <c r="Q127" s="8" t="s">
        <v>803</v>
      </c>
      <c r="R127" s="8" t="s">
        <v>956</v>
      </c>
      <c r="S127" s="8" t="s">
        <v>957</v>
      </c>
      <c r="T127" s="8"/>
      <c r="U127" s="8"/>
      <c r="V127" s="8"/>
    </row>
    <row r="128" spans="1:22" x14ac:dyDescent="0.2">
      <c r="A128" s="8" t="s">
        <v>254</v>
      </c>
      <c r="B128" s="8" t="s">
        <v>427</v>
      </c>
      <c r="C128" s="8" t="s">
        <v>811</v>
      </c>
      <c r="D128" s="8">
        <v>0.129</v>
      </c>
      <c r="E128" s="8">
        <v>2.58</v>
      </c>
      <c r="F128" s="8" t="s">
        <v>659</v>
      </c>
      <c r="G128" s="8">
        <v>17</v>
      </c>
      <c r="H128">
        <f t="shared" si="3"/>
        <v>2.1930000000000001</v>
      </c>
      <c r="I128" t="s">
        <v>948</v>
      </c>
      <c r="L128" s="8" t="s">
        <v>948</v>
      </c>
      <c r="M128" s="8">
        <v>0.129</v>
      </c>
      <c r="N128" s="8"/>
      <c r="O128" s="8"/>
      <c r="P128" s="8">
        <v>17</v>
      </c>
      <c r="Q128" s="8" t="s">
        <v>803</v>
      </c>
      <c r="R128" s="8" t="s">
        <v>956</v>
      </c>
      <c r="S128" s="8" t="s">
        <v>957</v>
      </c>
      <c r="T128" s="8"/>
      <c r="U128" s="8"/>
      <c r="V128" s="8"/>
    </row>
    <row r="129" spans="1:22" x14ac:dyDescent="0.2">
      <c r="A129" s="8" t="s">
        <v>380</v>
      </c>
      <c r="B129" s="8" t="s">
        <v>428</v>
      </c>
      <c r="C129" s="8" t="s">
        <v>812</v>
      </c>
      <c r="D129" s="8">
        <v>8.6699999999999999E-2</v>
      </c>
      <c r="E129" s="8">
        <v>1.734</v>
      </c>
      <c r="F129" s="8" t="s">
        <v>659</v>
      </c>
      <c r="G129" s="8">
        <v>17</v>
      </c>
      <c r="H129">
        <f t="shared" si="3"/>
        <v>1.4739</v>
      </c>
      <c r="I129" t="s">
        <v>949</v>
      </c>
      <c r="L129" s="8" t="s">
        <v>949</v>
      </c>
      <c r="M129" s="8">
        <v>8.6699999999999999E-2</v>
      </c>
      <c r="N129" s="8"/>
      <c r="O129" s="8"/>
      <c r="P129" s="8">
        <v>17</v>
      </c>
      <c r="Q129" s="8" t="s">
        <v>803</v>
      </c>
      <c r="R129" s="8" t="s">
        <v>956</v>
      </c>
      <c r="S129" s="8" t="s">
        <v>957</v>
      </c>
      <c r="T129" s="8"/>
      <c r="U129" s="8"/>
      <c r="V129" s="8"/>
    </row>
    <row r="130" spans="1:22" x14ac:dyDescent="0.2">
      <c r="A130" s="8" t="s">
        <v>362</v>
      </c>
      <c r="B130" s="8" t="s">
        <v>431</v>
      </c>
      <c r="C130" s="8" t="s">
        <v>813</v>
      </c>
      <c r="D130" s="8">
        <v>0.23400000000000001</v>
      </c>
      <c r="E130" s="8">
        <v>4.6800000000000006</v>
      </c>
      <c r="F130" s="8" t="s">
        <v>659</v>
      </c>
      <c r="G130" s="8">
        <v>17</v>
      </c>
      <c r="H130">
        <f t="shared" si="3"/>
        <v>3.9780000000000006</v>
      </c>
      <c r="I130" t="s">
        <v>950</v>
      </c>
      <c r="L130" s="8" t="s">
        <v>950</v>
      </c>
      <c r="M130" s="8">
        <v>0.23400000000000001</v>
      </c>
      <c r="N130" s="8"/>
      <c r="O130" s="8"/>
      <c r="P130" s="8">
        <v>17</v>
      </c>
      <c r="Q130" s="8" t="s">
        <v>803</v>
      </c>
      <c r="R130" s="8" t="s">
        <v>956</v>
      </c>
      <c r="S130" s="8" t="s">
        <v>957</v>
      </c>
      <c r="T130" s="8"/>
      <c r="U130" s="8"/>
      <c r="V130" s="8"/>
    </row>
    <row r="131" spans="1:22" x14ac:dyDescent="0.2">
      <c r="A131" s="8" t="s">
        <v>272</v>
      </c>
      <c r="B131" s="8" t="s">
        <v>432</v>
      </c>
      <c r="C131" s="8" t="s">
        <v>814</v>
      </c>
      <c r="D131" s="8">
        <v>0.32300000000000001</v>
      </c>
      <c r="E131" s="8">
        <v>6.46</v>
      </c>
      <c r="F131" s="8" t="s">
        <v>659</v>
      </c>
      <c r="G131" s="8">
        <v>17</v>
      </c>
      <c r="H131">
        <f t="shared" si="3"/>
        <v>5.4909999999999997</v>
      </c>
      <c r="I131" t="s">
        <v>951</v>
      </c>
      <c r="L131" s="8" t="s">
        <v>951</v>
      </c>
      <c r="M131" s="8">
        <v>0.32300000000000001</v>
      </c>
      <c r="N131" s="8"/>
      <c r="O131" s="8"/>
      <c r="P131" s="8">
        <v>17</v>
      </c>
      <c r="Q131" s="8" t="s">
        <v>803</v>
      </c>
      <c r="R131" s="8" t="s">
        <v>956</v>
      </c>
      <c r="S131" s="8" t="s">
        <v>957</v>
      </c>
      <c r="T131" s="8"/>
      <c r="U131" s="8"/>
      <c r="V131" s="8"/>
    </row>
    <row r="132" spans="1:22" x14ac:dyDescent="0.2">
      <c r="A132" s="8" t="s">
        <v>220</v>
      </c>
      <c r="B132" s="8" t="s">
        <v>637</v>
      </c>
      <c r="C132" s="8" t="s">
        <v>815</v>
      </c>
      <c r="D132" s="8">
        <v>0.18400000000000002</v>
      </c>
      <c r="E132" s="9">
        <v>9.2000000000000011</v>
      </c>
      <c r="F132" s="8" t="s">
        <v>660</v>
      </c>
      <c r="G132" s="8">
        <v>40</v>
      </c>
      <c r="H132">
        <f>E132*40/50</f>
        <v>7.3600000000000012</v>
      </c>
      <c r="I132" t="s">
        <v>952</v>
      </c>
      <c r="L132" s="8" t="s">
        <v>952</v>
      </c>
      <c r="M132" s="8">
        <v>0.18400000000000002</v>
      </c>
      <c r="N132" s="8"/>
      <c r="O132" s="8"/>
      <c r="P132" s="8">
        <v>40</v>
      </c>
      <c r="Q132" s="8" t="s">
        <v>803</v>
      </c>
      <c r="R132" s="8" t="s">
        <v>956</v>
      </c>
      <c r="S132" s="8" t="s">
        <v>957</v>
      </c>
      <c r="T132" s="8"/>
      <c r="U132" s="8"/>
      <c r="V132" s="8"/>
    </row>
    <row r="133" spans="1:22" x14ac:dyDescent="0.2">
      <c r="A133" s="8" t="s">
        <v>45</v>
      </c>
      <c r="B133" s="8" t="s">
        <v>551</v>
      </c>
      <c r="C133" s="8" t="s">
        <v>816</v>
      </c>
      <c r="D133" s="8">
        <v>0.2487</v>
      </c>
      <c r="E133" s="9">
        <v>12.435</v>
      </c>
      <c r="F133" s="8" t="s">
        <v>660</v>
      </c>
      <c r="G133" s="8">
        <v>40</v>
      </c>
      <c r="H133">
        <f>E133*40/50</f>
        <v>9.9480000000000004</v>
      </c>
      <c r="I133" t="s">
        <v>953</v>
      </c>
      <c r="L133" s="8" t="s">
        <v>953</v>
      </c>
      <c r="M133" s="8">
        <v>0.2487</v>
      </c>
      <c r="N133" s="8"/>
      <c r="O133" s="8"/>
      <c r="P133" s="8">
        <v>40</v>
      </c>
      <c r="Q133" s="8" t="s">
        <v>803</v>
      </c>
      <c r="R133" s="8" t="s">
        <v>956</v>
      </c>
      <c r="S133" s="8" t="s">
        <v>957</v>
      </c>
      <c r="T133" s="8"/>
      <c r="U133" s="8"/>
      <c r="V133" s="8"/>
    </row>
    <row r="134" spans="1:22" x14ac:dyDescent="0.2">
      <c r="A134" s="8" t="s">
        <v>75</v>
      </c>
      <c r="B134" s="8" t="s">
        <v>595</v>
      </c>
      <c r="C134" s="8" t="s">
        <v>817</v>
      </c>
      <c r="D134" s="8">
        <v>0.46200000000000002</v>
      </c>
      <c r="E134" s="9">
        <v>23.1</v>
      </c>
      <c r="F134" s="8" t="s">
        <v>660</v>
      </c>
      <c r="G134" s="8">
        <v>40</v>
      </c>
      <c r="H134">
        <f>E134*40/50</f>
        <v>18.48</v>
      </c>
      <c r="I134" t="s">
        <v>954</v>
      </c>
      <c r="L134" s="8" t="s">
        <v>954</v>
      </c>
      <c r="M134" s="8">
        <v>0.46200000000000002</v>
      </c>
      <c r="N134" s="8"/>
      <c r="O134" s="8"/>
      <c r="P134" s="8">
        <v>40</v>
      </c>
      <c r="Q134" s="8" t="s">
        <v>803</v>
      </c>
      <c r="R134" s="8" t="s">
        <v>956</v>
      </c>
      <c r="S134" s="8" t="s">
        <v>957</v>
      </c>
      <c r="T134" s="8"/>
      <c r="U134" s="8"/>
      <c r="V134" s="8"/>
    </row>
    <row r="135" spans="1:22" x14ac:dyDescent="0.2">
      <c r="A135" s="8" t="s">
        <v>94</v>
      </c>
      <c r="B135" s="8" t="s">
        <v>553</v>
      </c>
      <c r="C135" s="8" t="s">
        <v>818</v>
      </c>
      <c r="D135" s="8">
        <v>0.30370000000000003</v>
      </c>
      <c r="E135" s="9">
        <v>15.185</v>
      </c>
      <c r="F135" s="8" t="s">
        <v>660</v>
      </c>
      <c r="G135" s="8">
        <v>40</v>
      </c>
      <c r="H135">
        <f>E135*40/50</f>
        <v>12.148</v>
      </c>
      <c r="I135" t="s">
        <v>955</v>
      </c>
      <c r="L135" s="8" t="s">
        <v>955</v>
      </c>
      <c r="M135" s="8">
        <v>0.30370000000000003</v>
      </c>
      <c r="N135" s="8"/>
      <c r="O135" s="8"/>
      <c r="P135" s="8">
        <v>40</v>
      </c>
      <c r="Q135" s="8" t="s">
        <v>803</v>
      </c>
      <c r="R135" s="8" t="s">
        <v>956</v>
      </c>
      <c r="S135" s="8" t="s">
        <v>957</v>
      </c>
      <c r="T135" s="8"/>
      <c r="U135" s="8"/>
      <c r="V135" s="8"/>
    </row>
    <row r="136" spans="1:22" x14ac:dyDescent="0.2">
      <c r="A136" s="8"/>
      <c r="B136" s="8"/>
      <c r="C136" s="8"/>
      <c r="D136" s="9"/>
      <c r="E136" s="9"/>
      <c r="F136" s="8"/>
      <c r="G136" s="8"/>
    </row>
  </sheetData>
  <phoneticPr fontId="2" type="noConversion"/>
  <conditionalFormatting sqref="E132:E136">
    <cfRule type="duplicateValues" dxfId="0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F8ED-E838-464C-B2DC-C0A9561DD5C9}">
  <dimension ref="A1:C16"/>
  <sheetViews>
    <sheetView workbookViewId="0">
      <selection activeCell="C6" sqref="C6"/>
    </sheetView>
  </sheetViews>
  <sheetFormatPr baseColWidth="10" defaultRowHeight="15" x14ac:dyDescent="0.2"/>
  <cols>
    <col min="2" max="2" width="8.83203125" bestFit="1" customWidth="1"/>
    <col min="3" max="3" width="17.5" bestFit="1" customWidth="1"/>
  </cols>
  <sheetData>
    <row r="1" spans="1:3" x14ac:dyDescent="0.2">
      <c r="A1" s="8" t="s">
        <v>958</v>
      </c>
      <c r="B1" s="8" t="s">
        <v>959</v>
      </c>
      <c r="C1" s="8" t="s">
        <v>960</v>
      </c>
    </row>
    <row r="2" spans="1:3" x14ac:dyDescent="0.2">
      <c r="A2" s="8" t="s">
        <v>961</v>
      </c>
      <c r="B2" s="8" t="s">
        <v>963</v>
      </c>
      <c r="C2" s="8" t="s">
        <v>948</v>
      </c>
    </row>
    <row r="3" spans="1:3" x14ac:dyDescent="0.2">
      <c r="A3" s="8" t="s">
        <v>961</v>
      </c>
      <c r="B3" s="8" t="s">
        <v>966</v>
      </c>
      <c r="C3" s="8" t="s">
        <v>949</v>
      </c>
    </row>
    <row r="4" spans="1:3" x14ac:dyDescent="0.2">
      <c r="A4" s="8" t="s">
        <v>961</v>
      </c>
      <c r="B4" s="8" t="s">
        <v>964</v>
      </c>
      <c r="C4" s="8" t="s">
        <v>950</v>
      </c>
    </row>
    <row r="5" spans="1:3" x14ac:dyDescent="0.2">
      <c r="A5" s="8" t="s">
        <v>961</v>
      </c>
      <c r="B5" s="8" t="s">
        <v>965</v>
      </c>
      <c r="C5" s="8" t="s">
        <v>951</v>
      </c>
    </row>
    <row r="6" spans="1:3" x14ac:dyDescent="0.2">
      <c r="A6" s="8" t="s">
        <v>961</v>
      </c>
      <c r="B6" s="8" t="s">
        <v>665</v>
      </c>
      <c r="C6" s="8" t="s">
        <v>822</v>
      </c>
    </row>
    <row r="7" spans="1:3" x14ac:dyDescent="0.2">
      <c r="A7" s="8" t="s">
        <v>962</v>
      </c>
      <c r="B7" s="8" t="s">
        <v>666</v>
      </c>
      <c r="C7" s="8" t="s">
        <v>823</v>
      </c>
    </row>
    <row r="8" spans="1:3" x14ac:dyDescent="0.2">
      <c r="A8" s="8" t="s">
        <v>962</v>
      </c>
      <c r="B8" s="8" t="s">
        <v>667</v>
      </c>
      <c r="C8" s="8" t="s">
        <v>824</v>
      </c>
    </row>
    <row r="9" spans="1:3" x14ac:dyDescent="0.2">
      <c r="A9" s="8" t="s">
        <v>962</v>
      </c>
      <c r="B9" s="8" t="s">
        <v>668</v>
      </c>
      <c r="C9" s="8" t="s">
        <v>825</v>
      </c>
    </row>
    <row r="10" spans="1:3" x14ac:dyDescent="0.2">
      <c r="A10" s="8" t="s">
        <v>962</v>
      </c>
      <c r="B10" s="8" t="s">
        <v>669</v>
      </c>
      <c r="C10" s="8" t="s">
        <v>826</v>
      </c>
    </row>
    <row r="11" spans="1:3" x14ac:dyDescent="0.2">
      <c r="A11" s="8" t="s">
        <v>962</v>
      </c>
      <c r="B11" s="8" t="s">
        <v>670</v>
      </c>
      <c r="C11" s="8" t="s">
        <v>827</v>
      </c>
    </row>
    <row r="12" spans="1:3" x14ac:dyDescent="0.2">
      <c r="A12" s="8" t="s">
        <v>962</v>
      </c>
      <c r="B12" s="8" t="s">
        <v>671</v>
      </c>
      <c r="C12" s="8" t="s">
        <v>828</v>
      </c>
    </row>
    <row r="13" spans="1:3" x14ac:dyDescent="0.2">
      <c r="A13" s="8" t="s">
        <v>962</v>
      </c>
      <c r="B13" s="8" t="s">
        <v>672</v>
      </c>
      <c r="C13" s="8" t="s">
        <v>829</v>
      </c>
    </row>
    <row r="14" spans="1:3" x14ac:dyDescent="0.2">
      <c r="A14" s="8" t="s">
        <v>962</v>
      </c>
      <c r="B14" s="8" t="s">
        <v>673</v>
      </c>
      <c r="C14" s="8" t="s">
        <v>830</v>
      </c>
    </row>
    <row r="15" spans="1:3" x14ac:dyDescent="0.2">
      <c r="A15" s="8" t="s">
        <v>962</v>
      </c>
      <c r="B15" s="8" t="s">
        <v>674</v>
      </c>
      <c r="C15" s="8" t="s">
        <v>831</v>
      </c>
    </row>
    <row r="16" spans="1:3" x14ac:dyDescent="0.2">
      <c r="A16" s="8" t="s">
        <v>962</v>
      </c>
      <c r="B16" s="8" t="s">
        <v>675</v>
      </c>
      <c r="C16" s="8" t="s">
        <v>832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91ED-496A-BB4E-BF58-8CC9BCEA8654}">
  <dimension ref="A1:L135"/>
  <sheetViews>
    <sheetView tabSelected="1" topLeftCell="F57" workbookViewId="0">
      <selection activeCell="H67" sqref="H67"/>
    </sheetView>
  </sheetViews>
  <sheetFormatPr baseColWidth="10" defaultRowHeight="15" x14ac:dyDescent="0.2"/>
  <cols>
    <col min="1" max="1" width="10.6640625" bestFit="1" customWidth="1"/>
    <col min="2" max="2" width="50.33203125" bestFit="1" customWidth="1"/>
    <col min="3" max="3" width="12.5" bestFit="1" customWidth="1"/>
    <col min="4" max="4" width="15.83203125" bestFit="1" customWidth="1"/>
    <col min="5" max="5" width="48" bestFit="1" customWidth="1"/>
    <col min="6" max="6" width="14.83203125" bestFit="1" customWidth="1"/>
    <col min="7" max="7" width="10.1640625" bestFit="1" customWidth="1"/>
    <col min="8" max="8" width="71.1640625" bestFit="1" customWidth="1"/>
    <col min="9" max="9" width="24.1640625" bestFit="1" customWidth="1"/>
    <col min="11" max="11" width="16.33203125" customWidth="1"/>
  </cols>
  <sheetData>
    <row r="1" spans="1:12" x14ac:dyDescent="0.2">
      <c r="A1" s="8" t="s">
        <v>0</v>
      </c>
      <c r="B1" s="8" t="s">
        <v>410</v>
      </c>
      <c r="C1" s="8" t="s">
        <v>664</v>
      </c>
      <c r="D1" s="8" t="s">
        <v>792</v>
      </c>
      <c r="E1" s="8" t="s">
        <v>799</v>
      </c>
      <c r="F1" s="8" t="s">
        <v>798</v>
      </c>
      <c r="G1" s="8" t="s">
        <v>819</v>
      </c>
      <c r="H1" s="8" t="s">
        <v>820</v>
      </c>
      <c r="I1" s="8" t="s">
        <v>821</v>
      </c>
      <c r="J1" s="24" t="s">
        <v>967</v>
      </c>
      <c r="K1" s="24" t="s">
        <v>8</v>
      </c>
      <c r="L1" s="24" t="s">
        <v>968</v>
      </c>
    </row>
    <row r="2" spans="1:12" x14ac:dyDescent="0.2">
      <c r="A2" s="8" t="s">
        <v>254</v>
      </c>
      <c r="B2" s="8" t="s">
        <v>427</v>
      </c>
      <c r="C2" s="8" t="s">
        <v>811</v>
      </c>
      <c r="D2" s="8">
        <v>0.129</v>
      </c>
      <c r="E2" s="8">
        <v>2.58</v>
      </c>
      <c r="F2" s="8" t="s">
        <v>659</v>
      </c>
      <c r="G2" s="8">
        <v>17</v>
      </c>
      <c r="H2" s="8">
        <v>2.1930000000000001</v>
      </c>
      <c r="I2" s="8" t="s">
        <v>948</v>
      </c>
      <c r="J2" s="8" t="s">
        <v>12</v>
      </c>
      <c r="K2" s="8" t="s">
        <v>223</v>
      </c>
      <c r="L2" s="8">
        <v>1</v>
      </c>
    </row>
    <row r="3" spans="1:12" x14ac:dyDescent="0.2">
      <c r="A3" s="8" t="s">
        <v>380</v>
      </c>
      <c r="B3" s="8" t="s">
        <v>428</v>
      </c>
      <c r="C3" s="8" t="s">
        <v>812</v>
      </c>
      <c r="D3" s="8">
        <v>8.6699999999999999E-2</v>
      </c>
      <c r="E3" s="8">
        <v>1.734</v>
      </c>
      <c r="F3" s="8" t="s">
        <v>659</v>
      </c>
      <c r="G3" s="8">
        <v>17</v>
      </c>
      <c r="H3" s="8">
        <v>1.4739</v>
      </c>
      <c r="I3" s="8" t="s">
        <v>949</v>
      </c>
      <c r="J3" s="8" t="s">
        <v>12</v>
      </c>
      <c r="K3" s="8" t="s">
        <v>83</v>
      </c>
      <c r="L3" s="8">
        <v>1</v>
      </c>
    </row>
    <row r="4" spans="1:12" x14ac:dyDescent="0.2">
      <c r="A4" s="8" t="s">
        <v>359</v>
      </c>
      <c r="B4" s="8" t="s">
        <v>640</v>
      </c>
      <c r="C4" s="8" t="s">
        <v>777</v>
      </c>
      <c r="D4" s="8">
        <v>0.14699999999999999</v>
      </c>
      <c r="E4" s="8">
        <v>2.94</v>
      </c>
      <c r="F4" s="8" t="s">
        <v>659</v>
      </c>
      <c r="G4" s="8">
        <v>17</v>
      </c>
      <c r="H4" s="8">
        <v>2.4990000000000001</v>
      </c>
      <c r="I4" s="8" t="s">
        <v>938</v>
      </c>
      <c r="J4" s="8" t="s">
        <v>12</v>
      </c>
      <c r="K4" s="8" t="s">
        <v>83</v>
      </c>
      <c r="L4" s="8">
        <v>2</v>
      </c>
    </row>
    <row r="5" spans="1:12" x14ac:dyDescent="0.2">
      <c r="A5" s="8" t="s">
        <v>233</v>
      </c>
      <c r="B5" s="8" t="s">
        <v>644</v>
      </c>
      <c r="C5" s="8" t="s">
        <v>786</v>
      </c>
      <c r="D5" s="8">
        <v>0.11899999999999999</v>
      </c>
      <c r="E5" s="8">
        <v>2.38</v>
      </c>
      <c r="F5" s="8" t="s">
        <v>659</v>
      </c>
      <c r="G5" s="8">
        <v>17</v>
      </c>
      <c r="H5" s="8">
        <v>2.0230000000000001</v>
      </c>
      <c r="I5" s="8" t="s">
        <v>947</v>
      </c>
      <c r="J5" s="8" t="s">
        <v>12</v>
      </c>
      <c r="K5" s="8" t="s">
        <v>223</v>
      </c>
      <c r="L5" s="8">
        <v>2</v>
      </c>
    </row>
    <row r="6" spans="1:12" x14ac:dyDescent="0.2">
      <c r="A6" s="8" t="s">
        <v>217</v>
      </c>
      <c r="B6" s="8" t="s">
        <v>643</v>
      </c>
      <c r="C6" s="8" t="s">
        <v>783</v>
      </c>
      <c r="D6" s="8">
        <v>0.114</v>
      </c>
      <c r="E6" s="8">
        <v>2.2799999999999998</v>
      </c>
      <c r="F6" s="8" t="s">
        <v>659</v>
      </c>
      <c r="G6" s="8">
        <v>17</v>
      </c>
      <c r="H6" s="8">
        <v>1.9379999999999999</v>
      </c>
      <c r="I6" s="8" t="s">
        <v>944</v>
      </c>
      <c r="J6" s="8" t="s">
        <v>12</v>
      </c>
      <c r="K6" s="8" t="s">
        <v>83</v>
      </c>
      <c r="L6" s="8">
        <v>3</v>
      </c>
    </row>
    <row r="7" spans="1:12" x14ac:dyDescent="0.2">
      <c r="A7" s="8" t="s">
        <v>220</v>
      </c>
      <c r="B7" s="8" t="s">
        <v>637</v>
      </c>
      <c r="C7" s="8" t="s">
        <v>815</v>
      </c>
      <c r="D7" s="8">
        <v>0.184</v>
      </c>
      <c r="E7" s="9">
        <v>9.1999999999999993</v>
      </c>
      <c r="F7" s="8" t="s">
        <v>660</v>
      </c>
      <c r="G7" s="8">
        <v>40</v>
      </c>
      <c r="H7" s="8">
        <v>7.36</v>
      </c>
      <c r="I7" s="8" t="s">
        <v>952</v>
      </c>
      <c r="J7" s="8" t="s">
        <v>12</v>
      </c>
      <c r="K7" s="8" t="s">
        <v>223</v>
      </c>
      <c r="L7" s="8">
        <v>3</v>
      </c>
    </row>
    <row r="8" spans="1:12" x14ac:dyDescent="0.2">
      <c r="A8" s="8" t="s">
        <v>251</v>
      </c>
      <c r="B8" s="8" t="s">
        <v>619</v>
      </c>
      <c r="C8" s="8" t="s">
        <v>735</v>
      </c>
      <c r="D8" s="8">
        <v>0.114</v>
      </c>
      <c r="E8" s="8">
        <v>2.2799999999999998</v>
      </c>
      <c r="F8" s="8" t="s">
        <v>659</v>
      </c>
      <c r="G8" s="8">
        <v>17</v>
      </c>
      <c r="H8" s="8">
        <v>1.9379999999999999</v>
      </c>
      <c r="I8" s="8" t="s">
        <v>894</v>
      </c>
      <c r="J8" s="8" t="s">
        <v>12</v>
      </c>
      <c r="K8" s="8" t="s">
        <v>223</v>
      </c>
      <c r="L8" s="8">
        <v>4</v>
      </c>
    </row>
    <row r="9" spans="1:12" x14ac:dyDescent="0.2">
      <c r="A9" s="8" t="s">
        <v>214</v>
      </c>
      <c r="B9" s="8" t="s">
        <v>622</v>
      </c>
      <c r="C9" s="8" t="s">
        <v>743</v>
      </c>
      <c r="D9" s="8">
        <v>0.154</v>
      </c>
      <c r="E9" s="8">
        <v>3.08</v>
      </c>
      <c r="F9" s="8" t="s">
        <v>659</v>
      </c>
      <c r="G9" s="8">
        <v>17</v>
      </c>
      <c r="H9" s="8">
        <v>2.6179999999999999</v>
      </c>
      <c r="I9" s="8" t="s">
        <v>902</v>
      </c>
      <c r="J9" s="8" t="s">
        <v>12</v>
      </c>
      <c r="K9" s="8" t="s">
        <v>83</v>
      </c>
      <c r="L9" s="8">
        <v>4</v>
      </c>
    </row>
    <row r="10" spans="1:12" x14ac:dyDescent="0.2">
      <c r="A10" s="8" t="s">
        <v>365</v>
      </c>
      <c r="B10" s="8" t="s">
        <v>475</v>
      </c>
      <c r="C10" s="8" t="s">
        <v>670</v>
      </c>
      <c r="D10" s="8">
        <v>0.123</v>
      </c>
      <c r="E10" s="8">
        <v>2.46</v>
      </c>
      <c r="F10" s="8" t="s">
        <v>659</v>
      </c>
      <c r="G10" s="8">
        <v>17</v>
      </c>
      <c r="H10" s="8">
        <v>2.0910000000000002</v>
      </c>
      <c r="I10" s="8" t="s">
        <v>827</v>
      </c>
      <c r="J10" s="8" t="s">
        <v>12</v>
      </c>
      <c r="K10" s="8" t="s">
        <v>83</v>
      </c>
      <c r="L10" s="8">
        <v>5</v>
      </c>
    </row>
    <row r="11" spans="1:12" x14ac:dyDescent="0.2">
      <c r="A11" s="8" t="s">
        <v>269</v>
      </c>
      <c r="B11" s="8" t="s">
        <v>476</v>
      </c>
      <c r="C11" s="8" t="s">
        <v>673</v>
      </c>
      <c r="D11" s="8">
        <v>0.14000000000000001</v>
      </c>
      <c r="E11" s="8">
        <v>2.8</v>
      </c>
      <c r="F11" s="8" t="s">
        <v>659</v>
      </c>
      <c r="G11" s="8">
        <v>17</v>
      </c>
      <c r="H11" s="8">
        <v>2.38</v>
      </c>
      <c r="I11" s="8" t="s">
        <v>830</v>
      </c>
      <c r="J11" s="8" t="s">
        <v>12</v>
      </c>
      <c r="K11" s="8" t="s">
        <v>223</v>
      </c>
      <c r="L11" s="8">
        <v>5</v>
      </c>
    </row>
    <row r="12" spans="1:12" x14ac:dyDescent="0.2">
      <c r="A12" s="8" t="s">
        <v>392</v>
      </c>
      <c r="B12" s="8" t="s">
        <v>638</v>
      </c>
      <c r="C12" s="8" t="s">
        <v>773</v>
      </c>
      <c r="D12" s="8">
        <v>0.11700000000000001</v>
      </c>
      <c r="E12" s="8">
        <v>2.34</v>
      </c>
      <c r="F12" s="8" t="s">
        <v>659</v>
      </c>
      <c r="G12" s="8">
        <v>17</v>
      </c>
      <c r="H12" s="8">
        <v>1.9890000000000001</v>
      </c>
      <c r="I12" s="8" t="s">
        <v>934</v>
      </c>
      <c r="J12" s="8" t="s">
        <v>12</v>
      </c>
      <c r="K12" s="8" t="s">
        <v>223</v>
      </c>
      <c r="L12" s="8">
        <v>6</v>
      </c>
    </row>
    <row r="13" spans="1:12" x14ac:dyDescent="0.2">
      <c r="A13" s="8" t="s">
        <v>20</v>
      </c>
      <c r="B13" s="8" t="s">
        <v>593</v>
      </c>
      <c r="C13" s="8" t="s">
        <v>781</v>
      </c>
      <c r="D13" s="8">
        <v>9.0700000000000003E-2</v>
      </c>
      <c r="E13" s="8">
        <v>1.8140000000000001</v>
      </c>
      <c r="F13" s="8" t="s">
        <v>659</v>
      </c>
      <c r="G13" s="8">
        <v>17</v>
      </c>
      <c r="H13" s="8">
        <v>1.5419</v>
      </c>
      <c r="I13" s="8" t="s">
        <v>942</v>
      </c>
      <c r="J13" s="8" t="s">
        <v>12</v>
      </c>
      <c r="K13" s="8" t="s">
        <v>22</v>
      </c>
      <c r="L13" s="8">
        <v>6</v>
      </c>
    </row>
    <row r="14" spans="1:12" x14ac:dyDescent="0.2">
      <c r="A14" s="8" t="s">
        <v>227</v>
      </c>
      <c r="B14" s="8" t="s">
        <v>599</v>
      </c>
      <c r="C14" s="8" t="s">
        <v>689</v>
      </c>
      <c r="D14" s="8">
        <v>0.14199999999999999</v>
      </c>
      <c r="E14" s="8">
        <v>2.84</v>
      </c>
      <c r="F14" s="8" t="s">
        <v>659</v>
      </c>
      <c r="G14" s="8">
        <v>17</v>
      </c>
      <c r="H14" s="8">
        <v>2.4140000000000001</v>
      </c>
      <c r="I14" s="8" t="s">
        <v>846</v>
      </c>
      <c r="J14" s="8" t="s">
        <v>12</v>
      </c>
      <c r="K14" s="8" t="s">
        <v>223</v>
      </c>
      <c r="L14" s="8">
        <v>7</v>
      </c>
    </row>
    <row r="15" spans="1:12" x14ac:dyDescent="0.2">
      <c r="A15" s="8" t="s">
        <v>386</v>
      </c>
      <c r="B15" s="8" t="s">
        <v>600</v>
      </c>
      <c r="C15" s="8" t="s">
        <v>690</v>
      </c>
      <c r="D15" s="8">
        <v>0.14399999999999999</v>
      </c>
      <c r="E15" s="8">
        <v>2.88</v>
      </c>
      <c r="F15" s="8" t="s">
        <v>659</v>
      </c>
      <c r="G15" s="8">
        <v>17</v>
      </c>
      <c r="H15" s="8">
        <v>2.448</v>
      </c>
      <c r="I15" s="8" t="s">
        <v>847</v>
      </c>
      <c r="J15" s="8" t="s">
        <v>12</v>
      </c>
      <c r="K15" s="8" t="s">
        <v>83</v>
      </c>
      <c r="L15" s="8">
        <v>7</v>
      </c>
    </row>
    <row r="16" spans="1:12" x14ac:dyDescent="0.2">
      <c r="A16" s="8" t="s">
        <v>236</v>
      </c>
      <c r="B16" s="8" t="s">
        <v>597</v>
      </c>
      <c r="C16" s="8" t="s">
        <v>686</v>
      </c>
      <c r="D16" s="8">
        <v>0.114</v>
      </c>
      <c r="E16" s="8">
        <v>2.2799999999999998</v>
      </c>
      <c r="F16" s="8" t="s">
        <v>659</v>
      </c>
      <c r="G16" s="8">
        <v>17</v>
      </c>
      <c r="H16" s="8">
        <v>1.9379999999999999</v>
      </c>
      <c r="I16" s="8" t="s">
        <v>843</v>
      </c>
      <c r="J16" s="8" t="s">
        <v>12</v>
      </c>
      <c r="K16" s="8" t="s">
        <v>223</v>
      </c>
      <c r="L16" s="8">
        <v>8</v>
      </c>
    </row>
    <row r="17" spans="1:12" x14ac:dyDescent="0.2">
      <c r="A17" s="8" t="s">
        <v>374</v>
      </c>
      <c r="B17" s="8" t="s">
        <v>601</v>
      </c>
      <c r="C17" s="8" t="s">
        <v>692</v>
      </c>
      <c r="D17" s="8">
        <v>0.151</v>
      </c>
      <c r="E17" s="8">
        <v>3.02</v>
      </c>
      <c r="F17" s="8" t="s">
        <v>659</v>
      </c>
      <c r="G17" s="8">
        <v>17</v>
      </c>
      <c r="H17" s="8">
        <v>2.5670000000000002</v>
      </c>
      <c r="I17" s="8" t="s">
        <v>849</v>
      </c>
      <c r="J17" s="8" t="s">
        <v>12</v>
      </c>
      <c r="K17" s="8" t="s">
        <v>83</v>
      </c>
      <c r="L17" s="8">
        <v>8</v>
      </c>
    </row>
    <row r="18" spans="1:12" x14ac:dyDescent="0.2">
      <c r="A18" s="8" t="s">
        <v>248</v>
      </c>
      <c r="B18" s="8" t="s">
        <v>609</v>
      </c>
      <c r="C18" s="8" t="s">
        <v>710</v>
      </c>
      <c r="D18" s="8">
        <v>0.13900000000000001</v>
      </c>
      <c r="E18" s="8">
        <v>2.78</v>
      </c>
      <c r="F18" s="8" t="s">
        <v>659</v>
      </c>
      <c r="G18" s="8">
        <v>17</v>
      </c>
      <c r="H18" s="8">
        <v>2.363</v>
      </c>
      <c r="I18" s="8" t="s">
        <v>867</v>
      </c>
      <c r="J18" s="8" t="s">
        <v>12</v>
      </c>
      <c r="K18" s="8" t="s">
        <v>223</v>
      </c>
      <c r="L18" s="8">
        <v>9</v>
      </c>
    </row>
    <row r="19" spans="1:12" x14ac:dyDescent="0.2">
      <c r="A19" s="8" t="s">
        <v>45</v>
      </c>
      <c r="B19" s="8" t="s">
        <v>551</v>
      </c>
      <c r="C19" s="8" t="s">
        <v>816</v>
      </c>
      <c r="D19" s="8">
        <v>0.2487</v>
      </c>
      <c r="E19" s="9">
        <v>12.435</v>
      </c>
      <c r="F19" s="8" t="s">
        <v>660</v>
      </c>
      <c r="G19" s="8">
        <v>40</v>
      </c>
      <c r="H19" s="8">
        <v>9.9480000000000004</v>
      </c>
      <c r="I19" s="8" t="s">
        <v>953</v>
      </c>
      <c r="J19" s="8" t="s">
        <v>12</v>
      </c>
      <c r="K19" s="8" t="s">
        <v>22</v>
      </c>
      <c r="L19" s="8">
        <v>9</v>
      </c>
    </row>
    <row r="20" spans="1:12" x14ac:dyDescent="0.2">
      <c r="A20" s="8" t="s">
        <v>43</v>
      </c>
      <c r="B20" s="8" t="s">
        <v>570</v>
      </c>
      <c r="C20" s="8" t="s">
        <v>742</v>
      </c>
      <c r="D20" s="8">
        <v>0.13900000000000001</v>
      </c>
      <c r="E20" s="8">
        <v>2.78</v>
      </c>
      <c r="F20" s="8" t="s">
        <v>659</v>
      </c>
      <c r="G20" s="8">
        <v>17</v>
      </c>
      <c r="H20" s="8">
        <v>2.363</v>
      </c>
      <c r="I20" s="8" t="s">
        <v>901</v>
      </c>
      <c r="J20" s="8" t="s">
        <v>12</v>
      </c>
      <c r="K20" s="8" t="s">
        <v>22</v>
      </c>
      <c r="L20" s="8">
        <v>10</v>
      </c>
    </row>
    <row r="21" spans="1:12" x14ac:dyDescent="0.2">
      <c r="A21" s="8" t="s">
        <v>266</v>
      </c>
      <c r="B21" s="8" t="s">
        <v>626</v>
      </c>
      <c r="C21" s="8" t="s">
        <v>748</v>
      </c>
      <c r="D21" s="8">
        <v>0.28299999999999997</v>
      </c>
      <c r="E21" s="8">
        <v>5.66</v>
      </c>
      <c r="F21" s="8" t="s">
        <v>659</v>
      </c>
      <c r="G21" s="8">
        <v>17</v>
      </c>
      <c r="H21" s="8">
        <v>4.8109999999999999</v>
      </c>
      <c r="I21" s="8" t="s">
        <v>907</v>
      </c>
      <c r="J21" s="8" t="s">
        <v>12</v>
      </c>
      <c r="K21" s="8" t="s">
        <v>223</v>
      </c>
      <c r="L21" s="8">
        <v>10</v>
      </c>
    </row>
    <row r="22" spans="1:12" x14ac:dyDescent="0.2">
      <c r="A22" s="8" t="s">
        <v>389</v>
      </c>
      <c r="B22" s="8" t="s">
        <v>621</v>
      </c>
      <c r="C22" s="8" t="s">
        <v>740</v>
      </c>
      <c r="D22" s="8">
        <v>0.221</v>
      </c>
      <c r="E22" s="8">
        <v>4.42</v>
      </c>
      <c r="F22" s="8" t="s">
        <v>659</v>
      </c>
      <c r="G22" s="8">
        <v>17</v>
      </c>
      <c r="H22" s="8">
        <v>3.7570000000000001</v>
      </c>
      <c r="I22" s="8" t="s">
        <v>899</v>
      </c>
      <c r="J22" s="8" t="s">
        <v>12</v>
      </c>
      <c r="K22" s="8" t="s">
        <v>83</v>
      </c>
      <c r="L22" s="8">
        <v>11</v>
      </c>
    </row>
    <row r="23" spans="1:12" x14ac:dyDescent="0.2">
      <c r="A23" s="8" t="s">
        <v>245</v>
      </c>
      <c r="B23" s="8" t="s">
        <v>623</v>
      </c>
      <c r="C23" s="8" t="s">
        <v>745</v>
      </c>
      <c r="D23" s="8">
        <v>0.19900000000000001</v>
      </c>
      <c r="E23" s="8">
        <v>3.98</v>
      </c>
      <c r="F23" s="8" t="s">
        <v>659</v>
      </c>
      <c r="G23" s="8">
        <v>17</v>
      </c>
      <c r="H23" s="8">
        <v>3.383</v>
      </c>
      <c r="I23" s="8" t="s">
        <v>904</v>
      </c>
      <c r="J23" s="8" t="s">
        <v>12</v>
      </c>
      <c r="K23" s="8" t="s">
        <v>223</v>
      </c>
      <c r="L23" s="8">
        <v>11</v>
      </c>
    </row>
    <row r="24" spans="1:12" x14ac:dyDescent="0.2">
      <c r="A24" s="8" t="s">
        <v>37</v>
      </c>
      <c r="B24" s="8" t="s">
        <v>484</v>
      </c>
      <c r="C24" s="8" t="s">
        <v>666</v>
      </c>
      <c r="D24" s="8">
        <v>0.10299999999999999</v>
      </c>
      <c r="E24" s="8">
        <v>2.06</v>
      </c>
      <c r="F24" s="8" t="s">
        <v>659</v>
      </c>
      <c r="G24" s="8">
        <v>17</v>
      </c>
      <c r="H24" s="8">
        <v>1.7509999999999999</v>
      </c>
      <c r="I24" s="8" t="s">
        <v>823</v>
      </c>
      <c r="J24" s="8" t="s">
        <v>12</v>
      </c>
      <c r="K24" s="8" t="s">
        <v>22</v>
      </c>
      <c r="L24" s="8">
        <v>12</v>
      </c>
    </row>
    <row r="25" spans="1:12" x14ac:dyDescent="0.2">
      <c r="A25" s="8" t="s">
        <v>362</v>
      </c>
      <c r="B25" s="8" t="s">
        <v>431</v>
      </c>
      <c r="C25" s="8" t="s">
        <v>813</v>
      </c>
      <c r="D25" s="8">
        <v>0.23400000000000001</v>
      </c>
      <c r="E25" s="8">
        <v>4.68</v>
      </c>
      <c r="F25" s="8" t="s">
        <v>659</v>
      </c>
      <c r="G25" s="8">
        <v>17</v>
      </c>
      <c r="H25" s="8">
        <v>3.9780000000000002</v>
      </c>
      <c r="I25" s="8" t="s">
        <v>950</v>
      </c>
      <c r="J25" s="8" t="s">
        <v>12</v>
      </c>
      <c r="K25" s="8" t="s">
        <v>223</v>
      </c>
      <c r="L25" s="8">
        <v>12</v>
      </c>
    </row>
    <row r="26" spans="1:12" x14ac:dyDescent="0.2">
      <c r="A26" s="8" t="s">
        <v>377</v>
      </c>
      <c r="B26" s="8" t="s">
        <v>479</v>
      </c>
      <c r="C26" s="8" t="s">
        <v>676</v>
      </c>
      <c r="D26" s="8">
        <v>0.111</v>
      </c>
      <c r="E26" s="8">
        <v>2.2200000000000002</v>
      </c>
      <c r="F26" s="8" t="s">
        <v>659</v>
      </c>
      <c r="G26" s="8">
        <v>17</v>
      </c>
      <c r="H26" s="8">
        <v>1.887</v>
      </c>
      <c r="I26" s="8" t="s">
        <v>833</v>
      </c>
      <c r="J26" s="8" t="s">
        <v>12</v>
      </c>
      <c r="K26" s="8" t="s">
        <v>83</v>
      </c>
      <c r="L26" s="8">
        <v>13</v>
      </c>
    </row>
    <row r="27" spans="1:12" x14ac:dyDescent="0.2">
      <c r="A27" s="8" t="s">
        <v>272</v>
      </c>
      <c r="B27" s="8" t="s">
        <v>432</v>
      </c>
      <c r="C27" s="8" t="s">
        <v>814</v>
      </c>
      <c r="D27" s="8">
        <v>0.32300000000000001</v>
      </c>
      <c r="E27" s="8">
        <v>6.46</v>
      </c>
      <c r="F27" s="8" t="s">
        <v>659</v>
      </c>
      <c r="G27" s="8">
        <v>17</v>
      </c>
      <c r="H27" s="8">
        <v>5.4909999999999997</v>
      </c>
      <c r="I27" s="8" t="s">
        <v>951</v>
      </c>
      <c r="J27" s="8" t="s">
        <v>12</v>
      </c>
      <c r="K27" s="8" t="s">
        <v>223</v>
      </c>
      <c r="L27" s="8">
        <v>13</v>
      </c>
    </row>
    <row r="28" spans="1:12" x14ac:dyDescent="0.2">
      <c r="A28" s="8" t="s">
        <v>61</v>
      </c>
      <c r="B28" s="8" t="s">
        <v>544</v>
      </c>
      <c r="C28" s="8" t="s">
        <v>701</v>
      </c>
      <c r="D28" s="8">
        <v>0.22800000000000001</v>
      </c>
      <c r="E28" s="8">
        <v>4.5599999999999996</v>
      </c>
      <c r="F28" s="8" t="s">
        <v>659</v>
      </c>
      <c r="G28" s="8">
        <v>17</v>
      </c>
      <c r="H28" s="8">
        <v>3.8759999999999999</v>
      </c>
      <c r="I28" s="8" t="s">
        <v>858</v>
      </c>
      <c r="J28" s="8" t="s">
        <v>12</v>
      </c>
      <c r="K28" s="8" t="s">
        <v>22</v>
      </c>
      <c r="L28" s="8">
        <v>14</v>
      </c>
    </row>
    <row r="29" spans="1:12" x14ac:dyDescent="0.2">
      <c r="A29" s="8" t="s">
        <v>281</v>
      </c>
      <c r="B29" s="8" t="s">
        <v>603</v>
      </c>
      <c r="C29" s="8" t="s">
        <v>702</v>
      </c>
      <c r="D29" s="8">
        <v>0.28699999999999998</v>
      </c>
      <c r="E29" s="8">
        <v>5.74</v>
      </c>
      <c r="F29" s="8" t="s">
        <v>659</v>
      </c>
      <c r="G29" s="8">
        <v>17</v>
      </c>
      <c r="H29" s="8">
        <v>4.8789999999999996</v>
      </c>
      <c r="I29" s="8" t="s">
        <v>859</v>
      </c>
      <c r="J29" s="8" t="s">
        <v>12</v>
      </c>
      <c r="K29" s="8" t="s">
        <v>223</v>
      </c>
      <c r="L29" s="8">
        <v>14</v>
      </c>
    </row>
    <row r="30" spans="1:12" x14ac:dyDescent="0.2">
      <c r="A30" s="8" t="s">
        <v>368</v>
      </c>
      <c r="B30" s="8" t="s">
        <v>630</v>
      </c>
      <c r="C30" s="8" t="s">
        <v>503</v>
      </c>
      <c r="D30" s="8">
        <v>0.13200000000000001</v>
      </c>
      <c r="E30" s="8">
        <v>2.64</v>
      </c>
      <c r="F30" s="8" t="s">
        <v>659</v>
      </c>
      <c r="G30" s="8">
        <v>17</v>
      </c>
      <c r="H30" s="8">
        <v>2.2440000000000002</v>
      </c>
      <c r="I30" s="8" t="s">
        <v>922</v>
      </c>
      <c r="J30" s="8" t="s">
        <v>12</v>
      </c>
      <c r="K30" s="8" t="s">
        <v>83</v>
      </c>
      <c r="L30" s="8">
        <v>15</v>
      </c>
    </row>
    <row r="31" spans="1:12" x14ac:dyDescent="0.2">
      <c r="A31" s="8" t="s">
        <v>278</v>
      </c>
      <c r="B31" s="8" t="s">
        <v>633</v>
      </c>
      <c r="C31" s="8" t="s">
        <v>766</v>
      </c>
      <c r="D31" s="8">
        <v>0.182</v>
      </c>
      <c r="E31" s="8">
        <v>3.64</v>
      </c>
      <c r="F31" s="8" t="s">
        <v>659</v>
      </c>
      <c r="G31" s="8">
        <v>17</v>
      </c>
      <c r="H31" s="8">
        <v>3.0939999999999999</v>
      </c>
      <c r="I31" s="8" t="s">
        <v>927</v>
      </c>
      <c r="J31" s="8" t="s">
        <v>12</v>
      </c>
      <c r="K31" s="8" t="s">
        <v>223</v>
      </c>
      <c r="L31" s="8">
        <v>15</v>
      </c>
    </row>
    <row r="32" spans="1:12" x14ac:dyDescent="0.2">
      <c r="A32" s="8" t="s">
        <v>275</v>
      </c>
      <c r="B32" s="8" t="s">
        <v>642</v>
      </c>
      <c r="C32" s="8" t="s">
        <v>782</v>
      </c>
      <c r="D32" s="8">
        <v>0.13200000000000001</v>
      </c>
      <c r="E32" s="8">
        <v>2.64</v>
      </c>
      <c r="F32" s="8" t="s">
        <v>659</v>
      </c>
      <c r="G32" s="8">
        <v>17</v>
      </c>
      <c r="H32" s="8">
        <v>2.2440000000000002</v>
      </c>
      <c r="I32" s="8" t="s">
        <v>943</v>
      </c>
      <c r="J32" s="8" t="s">
        <v>12</v>
      </c>
      <c r="K32" s="8" t="s">
        <v>223</v>
      </c>
      <c r="L32" s="8">
        <v>16</v>
      </c>
    </row>
    <row r="33" spans="1:12" x14ac:dyDescent="0.2">
      <c r="A33" s="8" t="s">
        <v>75</v>
      </c>
      <c r="B33" s="8" t="s">
        <v>595</v>
      </c>
      <c r="C33" s="8" t="s">
        <v>817</v>
      </c>
      <c r="D33" s="8">
        <v>0.46200000000000002</v>
      </c>
      <c r="E33" s="9">
        <v>23.1</v>
      </c>
      <c r="F33" s="8" t="s">
        <v>660</v>
      </c>
      <c r="G33" s="8">
        <v>40</v>
      </c>
      <c r="H33" s="8">
        <v>18.48</v>
      </c>
      <c r="I33" s="8" t="s">
        <v>954</v>
      </c>
      <c r="J33" s="8" t="s">
        <v>12</v>
      </c>
      <c r="K33" s="8" t="s">
        <v>22</v>
      </c>
      <c r="L33" s="8">
        <v>16</v>
      </c>
    </row>
    <row r="34" spans="1:12" x14ac:dyDescent="0.2">
      <c r="A34" s="8" t="s">
        <v>77</v>
      </c>
      <c r="B34" s="8" t="s">
        <v>582</v>
      </c>
      <c r="C34" s="8" t="s">
        <v>760</v>
      </c>
      <c r="D34" s="8">
        <v>0.123</v>
      </c>
      <c r="E34" s="8">
        <v>2.46</v>
      </c>
      <c r="F34" s="8" t="s">
        <v>659</v>
      </c>
      <c r="G34" s="8">
        <v>17</v>
      </c>
      <c r="H34" s="8">
        <v>2.0910000000000002</v>
      </c>
      <c r="I34" s="8" t="s">
        <v>919</v>
      </c>
      <c r="J34" s="8" t="s">
        <v>12</v>
      </c>
      <c r="K34" s="8" t="s">
        <v>22</v>
      </c>
      <c r="L34" s="8">
        <v>17</v>
      </c>
    </row>
    <row r="35" spans="1:12" x14ac:dyDescent="0.2">
      <c r="A35" s="8" t="s">
        <v>242</v>
      </c>
      <c r="B35" s="8" t="s">
        <v>631</v>
      </c>
      <c r="C35" s="8" t="s">
        <v>763</v>
      </c>
      <c r="D35" s="8">
        <v>0.13600000000000001</v>
      </c>
      <c r="E35" s="8">
        <v>2.72</v>
      </c>
      <c r="F35" s="8" t="s">
        <v>659</v>
      </c>
      <c r="G35" s="8">
        <v>17</v>
      </c>
      <c r="H35" s="8">
        <v>2.3119999999999998</v>
      </c>
      <c r="I35" s="8" t="s">
        <v>924</v>
      </c>
      <c r="J35" s="8" t="s">
        <v>12</v>
      </c>
      <c r="K35" s="8" t="s">
        <v>223</v>
      </c>
      <c r="L35" s="8">
        <v>17</v>
      </c>
    </row>
    <row r="36" spans="1:12" x14ac:dyDescent="0.2">
      <c r="A36" s="8" t="s">
        <v>308</v>
      </c>
      <c r="B36" s="8" t="s">
        <v>628</v>
      </c>
      <c r="C36" s="8" t="s">
        <v>759</v>
      </c>
      <c r="D36" s="8">
        <v>9.8699999999999996E-2</v>
      </c>
      <c r="E36" s="8">
        <v>1.974</v>
      </c>
      <c r="F36" s="8" t="s">
        <v>659</v>
      </c>
      <c r="G36" s="8">
        <v>17</v>
      </c>
      <c r="H36" s="8">
        <v>1.6778999999999999</v>
      </c>
      <c r="I36" s="8" t="s">
        <v>918</v>
      </c>
      <c r="J36" s="8" t="s">
        <v>87</v>
      </c>
      <c r="K36" s="8" t="s">
        <v>223</v>
      </c>
      <c r="L36" s="8">
        <v>18</v>
      </c>
    </row>
    <row r="37" spans="1:12" x14ac:dyDescent="0.2">
      <c r="A37" s="8" t="s">
        <v>109</v>
      </c>
      <c r="B37" s="8" t="s">
        <v>584</v>
      </c>
      <c r="C37" s="8" t="s">
        <v>762</v>
      </c>
      <c r="D37" s="8">
        <v>0.153</v>
      </c>
      <c r="E37" s="8">
        <v>3.06</v>
      </c>
      <c r="F37" s="8" t="s">
        <v>659</v>
      </c>
      <c r="G37" s="8">
        <v>17</v>
      </c>
      <c r="H37" s="8">
        <v>2.601</v>
      </c>
      <c r="I37" s="8" t="s">
        <v>923</v>
      </c>
      <c r="J37" s="8" t="s">
        <v>87</v>
      </c>
      <c r="K37" s="8" t="s">
        <v>83</v>
      </c>
      <c r="L37" s="8">
        <v>18</v>
      </c>
    </row>
    <row r="38" spans="1:12" x14ac:dyDescent="0.2">
      <c r="A38" s="8" t="s">
        <v>302</v>
      </c>
      <c r="B38" s="8" t="s">
        <v>598</v>
      </c>
      <c r="C38" s="8" t="s">
        <v>687</v>
      </c>
      <c r="D38" s="8">
        <v>0.1</v>
      </c>
      <c r="E38" s="8">
        <v>2</v>
      </c>
      <c r="F38" s="8" t="s">
        <v>659</v>
      </c>
      <c r="G38" s="8">
        <v>17</v>
      </c>
      <c r="H38" s="8">
        <v>1.7</v>
      </c>
      <c r="I38" s="8" t="s">
        <v>844</v>
      </c>
      <c r="J38" s="8" t="s">
        <v>87</v>
      </c>
      <c r="K38" s="8" t="s">
        <v>223</v>
      </c>
      <c r="L38" s="8">
        <v>19</v>
      </c>
    </row>
    <row r="39" spans="1:12" x14ac:dyDescent="0.2">
      <c r="A39" s="8" t="s">
        <v>103</v>
      </c>
      <c r="B39" s="8" t="s">
        <v>539</v>
      </c>
      <c r="C39" s="8" t="s">
        <v>695</v>
      </c>
      <c r="D39" s="8">
        <v>0.11700000000000001</v>
      </c>
      <c r="E39" s="8">
        <v>2.34</v>
      </c>
      <c r="F39" s="8" t="s">
        <v>659</v>
      </c>
      <c r="G39" s="8">
        <v>17</v>
      </c>
      <c r="H39" s="8">
        <v>1.9890000000000001</v>
      </c>
      <c r="I39" s="8" t="s">
        <v>852</v>
      </c>
      <c r="J39" s="8" t="s">
        <v>87</v>
      </c>
      <c r="K39" s="8" t="s">
        <v>83</v>
      </c>
      <c r="L39" s="8">
        <v>19</v>
      </c>
    </row>
    <row r="40" spans="1:12" x14ac:dyDescent="0.2">
      <c r="A40" s="8" t="s">
        <v>293</v>
      </c>
      <c r="B40" s="8" t="s">
        <v>615</v>
      </c>
      <c r="C40" s="8" t="s">
        <v>725</v>
      </c>
      <c r="D40" s="8">
        <v>0.16700000000000001</v>
      </c>
      <c r="E40" s="8">
        <v>3.34</v>
      </c>
      <c r="F40" s="8" t="s">
        <v>659</v>
      </c>
      <c r="G40" s="8">
        <v>17</v>
      </c>
      <c r="H40" s="8">
        <v>2.839</v>
      </c>
      <c r="I40" s="8" t="s">
        <v>882</v>
      </c>
      <c r="J40" s="8" t="s">
        <v>87</v>
      </c>
      <c r="K40" s="8" t="s">
        <v>223</v>
      </c>
      <c r="L40" s="8">
        <v>20</v>
      </c>
    </row>
    <row r="41" spans="1:12" x14ac:dyDescent="0.2">
      <c r="A41" s="8" t="s">
        <v>94</v>
      </c>
      <c r="B41" s="8" t="s">
        <v>553</v>
      </c>
      <c r="C41" s="8" t="s">
        <v>818</v>
      </c>
      <c r="D41" s="8">
        <v>0.30370000000000003</v>
      </c>
      <c r="E41" s="9">
        <v>15.185</v>
      </c>
      <c r="F41" s="8" t="s">
        <v>660</v>
      </c>
      <c r="G41" s="8">
        <v>40</v>
      </c>
      <c r="H41" s="8">
        <v>12.148</v>
      </c>
      <c r="I41" s="8" t="s">
        <v>955</v>
      </c>
      <c r="J41" s="8" t="s">
        <v>87</v>
      </c>
      <c r="K41" s="8" t="s">
        <v>83</v>
      </c>
      <c r="L41" s="8">
        <v>20</v>
      </c>
    </row>
    <row r="42" spans="1:12" x14ac:dyDescent="0.2">
      <c r="A42" s="8" t="s">
        <v>112</v>
      </c>
      <c r="B42" s="8" t="s">
        <v>567</v>
      </c>
      <c r="C42" s="8" t="s">
        <v>737</v>
      </c>
      <c r="D42" s="8">
        <v>0.14499999999999999</v>
      </c>
      <c r="E42" s="8">
        <v>2.9</v>
      </c>
      <c r="F42" s="8" t="s">
        <v>659</v>
      </c>
      <c r="G42" s="8">
        <v>17</v>
      </c>
      <c r="H42" s="8">
        <v>2.4649999999999999</v>
      </c>
      <c r="I42" s="8" t="s">
        <v>896</v>
      </c>
      <c r="J42" s="8" t="s">
        <v>87</v>
      </c>
      <c r="K42" s="8" t="s">
        <v>83</v>
      </c>
      <c r="L42" s="8">
        <v>21</v>
      </c>
    </row>
    <row r="43" spans="1:12" x14ac:dyDescent="0.2">
      <c r="A43" s="8" t="s">
        <v>311</v>
      </c>
      <c r="B43" s="8" t="s">
        <v>624</v>
      </c>
      <c r="C43" s="8" t="s">
        <v>746</v>
      </c>
      <c r="D43" s="8">
        <v>0.20599999999999999</v>
      </c>
      <c r="E43" s="8">
        <v>4.12</v>
      </c>
      <c r="F43" s="8" t="s">
        <v>659</v>
      </c>
      <c r="G43" s="8">
        <v>17</v>
      </c>
      <c r="H43" s="8">
        <v>3.5019999999999998</v>
      </c>
      <c r="I43" s="8" t="s">
        <v>905</v>
      </c>
      <c r="J43" s="8" t="s">
        <v>87</v>
      </c>
      <c r="K43" s="8" t="s">
        <v>223</v>
      </c>
      <c r="L43" s="8">
        <v>21</v>
      </c>
    </row>
    <row r="44" spans="1:12" x14ac:dyDescent="0.2">
      <c r="A44" s="8" t="s">
        <v>133</v>
      </c>
      <c r="B44" s="8" t="s">
        <v>552</v>
      </c>
      <c r="C44" s="8" t="s">
        <v>716</v>
      </c>
      <c r="D44" s="8">
        <v>0.14899999999999999</v>
      </c>
      <c r="E44" s="8">
        <v>2.98</v>
      </c>
      <c r="F44" s="8" t="s">
        <v>659</v>
      </c>
      <c r="G44" s="8">
        <v>17</v>
      </c>
      <c r="H44" s="8">
        <v>2.5329999999999999</v>
      </c>
      <c r="I44" s="8" t="s">
        <v>873</v>
      </c>
      <c r="J44" s="8" t="s">
        <v>87</v>
      </c>
      <c r="K44" s="8" t="s">
        <v>83</v>
      </c>
      <c r="L44" s="8">
        <v>22</v>
      </c>
    </row>
    <row r="45" spans="1:12" x14ac:dyDescent="0.2">
      <c r="A45" s="8" t="s">
        <v>326</v>
      </c>
      <c r="B45" s="8" t="s">
        <v>616</v>
      </c>
      <c r="C45" s="8" t="s">
        <v>727</v>
      </c>
      <c r="D45" s="8">
        <v>0.2</v>
      </c>
      <c r="E45" s="8">
        <v>4</v>
      </c>
      <c r="F45" s="8" t="s">
        <v>659</v>
      </c>
      <c r="G45" s="8">
        <v>17</v>
      </c>
      <c r="H45" s="8">
        <v>3.4</v>
      </c>
      <c r="I45" s="8" t="s">
        <v>884</v>
      </c>
      <c r="J45" s="8" t="s">
        <v>87</v>
      </c>
      <c r="K45" s="8" t="s">
        <v>223</v>
      </c>
      <c r="L45" s="8">
        <v>22</v>
      </c>
    </row>
    <row r="46" spans="1:12" x14ac:dyDescent="0.2">
      <c r="A46" s="8" t="s">
        <v>350</v>
      </c>
      <c r="B46" s="8" t="s">
        <v>618</v>
      </c>
      <c r="C46" s="8" t="s">
        <v>728</v>
      </c>
      <c r="D46" s="8">
        <v>0.153</v>
      </c>
      <c r="E46" s="8">
        <v>3.06</v>
      </c>
      <c r="F46" s="8" t="s">
        <v>659</v>
      </c>
      <c r="G46" s="8">
        <v>17</v>
      </c>
      <c r="H46" s="8">
        <v>2.601</v>
      </c>
      <c r="I46" s="8" t="s">
        <v>887</v>
      </c>
      <c r="J46" s="8" t="s">
        <v>87</v>
      </c>
      <c r="K46" s="8" t="s">
        <v>223</v>
      </c>
      <c r="L46" s="8">
        <v>23</v>
      </c>
    </row>
    <row r="47" spans="1:12" x14ac:dyDescent="0.2">
      <c r="A47" s="8" t="s">
        <v>148</v>
      </c>
      <c r="B47" s="8" t="s">
        <v>566</v>
      </c>
      <c r="C47" s="8" t="s">
        <v>736</v>
      </c>
      <c r="D47" s="8">
        <v>0.13200000000000001</v>
      </c>
      <c r="E47" s="8">
        <v>2.64</v>
      </c>
      <c r="F47" s="8" t="s">
        <v>659</v>
      </c>
      <c r="G47" s="8">
        <v>17</v>
      </c>
      <c r="H47" s="8">
        <v>2.2440000000000002</v>
      </c>
      <c r="I47" s="8" t="s">
        <v>895</v>
      </c>
      <c r="J47" s="8" t="s">
        <v>87</v>
      </c>
      <c r="K47" s="8" t="s">
        <v>83</v>
      </c>
      <c r="L47" s="8">
        <v>23</v>
      </c>
    </row>
    <row r="48" spans="1:12" x14ac:dyDescent="0.2">
      <c r="A48" s="8" t="s">
        <v>151</v>
      </c>
      <c r="B48" s="8" t="s">
        <v>540</v>
      </c>
      <c r="C48" s="8" t="s">
        <v>696</v>
      </c>
      <c r="D48" s="8">
        <v>0.126</v>
      </c>
      <c r="E48" s="8">
        <v>2.52</v>
      </c>
      <c r="F48" s="8" t="s">
        <v>659</v>
      </c>
      <c r="G48" s="8">
        <v>17</v>
      </c>
      <c r="H48" s="8">
        <v>2.1419999999999999</v>
      </c>
      <c r="I48" s="8" t="s">
        <v>853</v>
      </c>
      <c r="J48" s="8" t="s">
        <v>87</v>
      </c>
      <c r="K48" s="8" t="s">
        <v>83</v>
      </c>
      <c r="L48" s="8">
        <v>24</v>
      </c>
    </row>
    <row r="49" spans="1:12" x14ac:dyDescent="0.2">
      <c r="A49" s="8" t="s">
        <v>341</v>
      </c>
      <c r="B49" s="8" t="s">
        <v>604</v>
      </c>
      <c r="C49" s="8" t="s">
        <v>703</v>
      </c>
      <c r="D49" s="8">
        <v>0.25900000000000001</v>
      </c>
      <c r="E49" s="8">
        <v>5.18</v>
      </c>
      <c r="F49" s="8" t="s">
        <v>659</v>
      </c>
      <c r="G49" s="8">
        <v>17</v>
      </c>
      <c r="H49" s="8">
        <v>4.4029999999999996</v>
      </c>
      <c r="I49" s="8" t="s">
        <v>860</v>
      </c>
      <c r="J49" s="8" t="s">
        <v>87</v>
      </c>
      <c r="K49" s="8" t="s">
        <v>223</v>
      </c>
      <c r="L49" s="8">
        <v>24</v>
      </c>
    </row>
    <row r="50" spans="1:12" x14ac:dyDescent="0.2">
      <c r="A50" s="8" t="s">
        <v>290</v>
      </c>
      <c r="B50" s="8" t="s">
        <v>617</v>
      </c>
      <c r="C50" s="8" t="s">
        <v>504</v>
      </c>
      <c r="D50" s="8">
        <v>8.3299999999999999E-2</v>
      </c>
      <c r="E50" s="8">
        <v>1.6659999999999999</v>
      </c>
      <c r="F50" s="8" t="s">
        <v>659</v>
      </c>
      <c r="G50" s="8">
        <v>17</v>
      </c>
      <c r="H50" s="8">
        <v>1.4160999999999999</v>
      </c>
      <c r="I50" s="8" t="s">
        <v>885</v>
      </c>
      <c r="J50" s="8" t="s">
        <v>87</v>
      </c>
      <c r="K50" s="8" t="s">
        <v>223</v>
      </c>
      <c r="L50" s="8">
        <v>25</v>
      </c>
    </row>
    <row r="51" spans="1:12" x14ac:dyDescent="0.2">
      <c r="A51" s="8" t="s">
        <v>97</v>
      </c>
      <c r="B51" s="8" t="s">
        <v>562</v>
      </c>
      <c r="C51" s="8" t="s">
        <v>731</v>
      </c>
      <c r="D51" s="8">
        <v>0.123</v>
      </c>
      <c r="E51" s="8">
        <v>2.46</v>
      </c>
      <c r="F51" s="8" t="s">
        <v>659</v>
      </c>
      <c r="G51" s="8">
        <v>17</v>
      </c>
      <c r="H51" s="8">
        <v>2.0910000000000002</v>
      </c>
      <c r="I51" s="8" t="s">
        <v>890</v>
      </c>
      <c r="J51" s="8" t="s">
        <v>87</v>
      </c>
      <c r="K51" s="8" t="s">
        <v>83</v>
      </c>
      <c r="L51" s="8">
        <v>25</v>
      </c>
    </row>
    <row r="52" spans="1:12" x14ac:dyDescent="0.2">
      <c r="A52" s="8" t="s">
        <v>100</v>
      </c>
      <c r="B52" s="8" t="s">
        <v>585</v>
      </c>
      <c r="C52" s="8" t="s">
        <v>765</v>
      </c>
      <c r="D52" s="8">
        <v>0.17199999999999999</v>
      </c>
      <c r="E52" s="8">
        <v>3.44</v>
      </c>
      <c r="F52" s="8" t="s">
        <v>659</v>
      </c>
      <c r="G52" s="8">
        <v>17</v>
      </c>
      <c r="H52" s="8">
        <v>2.9239999999999999</v>
      </c>
      <c r="I52" s="8" t="s">
        <v>926</v>
      </c>
      <c r="J52" s="8" t="s">
        <v>87</v>
      </c>
      <c r="K52" s="8" t="s">
        <v>83</v>
      </c>
      <c r="L52" s="8">
        <v>26</v>
      </c>
    </row>
    <row r="53" spans="1:12" x14ac:dyDescent="0.2">
      <c r="A53" s="8" t="s">
        <v>121</v>
      </c>
      <c r="B53" s="8" t="s">
        <v>547</v>
      </c>
      <c r="C53" s="8" t="s">
        <v>711</v>
      </c>
      <c r="D53" s="8">
        <v>0.16800000000000001</v>
      </c>
      <c r="E53" s="8">
        <v>3.36</v>
      </c>
      <c r="F53" s="8" t="s">
        <v>659</v>
      </c>
      <c r="G53" s="8">
        <v>17</v>
      </c>
      <c r="H53" s="8">
        <v>2.8559999999999999</v>
      </c>
      <c r="I53" s="8" t="s">
        <v>868</v>
      </c>
      <c r="J53" s="8" t="s">
        <v>87</v>
      </c>
      <c r="K53" s="8" t="s">
        <v>83</v>
      </c>
      <c r="L53" s="8">
        <v>27</v>
      </c>
    </row>
    <row r="54" spans="1:12" x14ac:dyDescent="0.2">
      <c r="A54" s="8" t="s">
        <v>317</v>
      </c>
      <c r="B54" s="8" t="s">
        <v>613</v>
      </c>
      <c r="C54" s="8" t="s">
        <v>723</v>
      </c>
      <c r="D54" s="8">
        <v>0.159</v>
      </c>
      <c r="E54" s="8">
        <v>3.18</v>
      </c>
      <c r="F54" s="8" t="s">
        <v>659</v>
      </c>
      <c r="G54" s="8">
        <v>17</v>
      </c>
      <c r="H54" s="8">
        <v>2.7029999999999998</v>
      </c>
      <c r="I54" s="8" t="s">
        <v>880</v>
      </c>
      <c r="J54" s="8" t="s">
        <v>87</v>
      </c>
      <c r="K54" s="8" t="s">
        <v>223</v>
      </c>
      <c r="L54" s="8">
        <v>27</v>
      </c>
    </row>
    <row r="55" spans="1:12" x14ac:dyDescent="0.2">
      <c r="A55" s="8" t="s">
        <v>115</v>
      </c>
      <c r="B55" s="8" t="s">
        <v>541</v>
      </c>
      <c r="C55" s="8" t="s">
        <v>697</v>
      </c>
      <c r="D55" s="8">
        <v>0.186</v>
      </c>
      <c r="E55" s="8">
        <v>3.72</v>
      </c>
      <c r="F55" s="8" t="s">
        <v>659</v>
      </c>
      <c r="G55" s="8">
        <v>17</v>
      </c>
      <c r="H55" s="8">
        <v>3.1619999999999999</v>
      </c>
      <c r="I55" s="8" t="s">
        <v>854</v>
      </c>
      <c r="J55" s="8" t="s">
        <v>12</v>
      </c>
      <c r="K55" s="8" t="s">
        <v>83</v>
      </c>
      <c r="L55" s="8">
        <v>28</v>
      </c>
    </row>
    <row r="56" spans="1:12" x14ac:dyDescent="0.2">
      <c r="A56" s="8" t="s">
        <v>230</v>
      </c>
      <c r="B56" s="8" t="s">
        <v>605</v>
      </c>
      <c r="C56" s="8" t="s">
        <v>704</v>
      </c>
      <c r="D56" s="8">
        <v>0.29499999999999998</v>
      </c>
      <c r="E56" s="8">
        <v>5.9</v>
      </c>
      <c r="F56" s="8" t="s">
        <v>659</v>
      </c>
      <c r="G56" s="8">
        <v>17</v>
      </c>
      <c r="H56" s="8">
        <v>5.0149999999999997</v>
      </c>
      <c r="I56" s="8" t="s">
        <v>861</v>
      </c>
      <c r="J56" s="8" t="s">
        <v>12</v>
      </c>
      <c r="K56" s="8" t="s">
        <v>223</v>
      </c>
      <c r="L56" s="8">
        <v>28</v>
      </c>
    </row>
    <row r="57" spans="1:12" x14ac:dyDescent="0.2">
      <c r="A57" s="8" t="s">
        <v>353</v>
      </c>
      <c r="B57" s="8" t="s">
        <v>636</v>
      </c>
      <c r="C57" s="8" t="s">
        <v>772</v>
      </c>
      <c r="D57" s="8">
        <v>0.17299999999999999</v>
      </c>
      <c r="E57" s="8">
        <v>3.46</v>
      </c>
      <c r="F57" s="8" t="s">
        <v>659</v>
      </c>
      <c r="G57" s="8">
        <v>17</v>
      </c>
      <c r="H57" s="8">
        <v>2.9409999999999998</v>
      </c>
      <c r="I57" s="8" t="s">
        <v>933</v>
      </c>
      <c r="J57" s="8" t="s">
        <v>87</v>
      </c>
      <c r="K57" s="8" t="s">
        <v>223</v>
      </c>
      <c r="L57" s="8">
        <v>29</v>
      </c>
    </row>
    <row r="58" spans="1:12" x14ac:dyDescent="0.2">
      <c r="A58" s="8" t="s">
        <v>160</v>
      </c>
      <c r="B58" s="8" t="s">
        <v>596</v>
      </c>
      <c r="C58" s="8" t="s">
        <v>785</v>
      </c>
      <c r="D58" s="8">
        <v>7.7299999999999994E-2</v>
      </c>
      <c r="E58" s="8">
        <v>1.546</v>
      </c>
      <c r="F58" s="8" t="s">
        <v>659</v>
      </c>
      <c r="G58" s="8">
        <v>17</v>
      </c>
      <c r="H58" s="8">
        <v>1.3141</v>
      </c>
      <c r="I58" s="8" t="s">
        <v>946</v>
      </c>
      <c r="J58" s="8" t="s">
        <v>87</v>
      </c>
      <c r="K58" s="8" t="s">
        <v>83</v>
      </c>
      <c r="L58" s="8">
        <v>29</v>
      </c>
    </row>
    <row r="59" spans="1:12" x14ac:dyDescent="0.2">
      <c r="A59" s="8" t="s">
        <v>338</v>
      </c>
      <c r="B59" s="8" t="s">
        <v>635</v>
      </c>
      <c r="C59" s="8" t="s">
        <v>769</v>
      </c>
      <c r="D59" s="8">
        <v>0.158</v>
      </c>
      <c r="E59" s="8">
        <v>3.16</v>
      </c>
      <c r="F59" s="8" t="s">
        <v>659</v>
      </c>
      <c r="G59" s="8">
        <v>17</v>
      </c>
      <c r="H59" s="8">
        <v>2.6859999999999999</v>
      </c>
      <c r="I59" s="8" t="s">
        <v>930</v>
      </c>
      <c r="J59" s="8" t="s">
        <v>87</v>
      </c>
      <c r="K59" s="8" t="s">
        <v>223</v>
      </c>
      <c r="L59" s="8">
        <v>30</v>
      </c>
    </row>
    <row r="60" spans="1:12" x14ac:dyDescent="0.2">
      <c r="A60" s="8" t="s">
        <v>130</v>
      </c>
      <c r="B60" s="8" t="s">
        <v>592</v>
      </c>
      <c r="C60" s="8" t="s">
        <v>779</v>
      </c>
      <c r="D60" s="8">
        <v>8.4699999999999998E-2</v>
      </c>
      <c r="E60" s="8">
        <v>1.694</v>
      </c>
      <c r="F60" s="8" t="s">
        <v>659</v>
      </c>
      <c r="G60" s="8">
        <v>17</v>
      </c>
      <c r="H60" s="8">
        <v>1.4399</v>
      </c>
      <c r="I60" s="8" t="s">
        <v>940</v>
      </c>
      <c r="J60" s="8" t="s">
        <v>87</v>
      </c>
      <c r="K60" s="8" t="s">
        <v>83</v>
      </c>
      <c r="L60" s="8">
        <v>30</v>
      </c>
    </row>
    <row r="61" spans="1:12" x14ac:dyDescent="0.2">
      <c r="A61" s="8" t="s">
        <v>106</v>
      </c>
      <c r="B61" s="8" t="s">
        <v>563</v>
      </c>
      <c r="C61" s="8" t="s">
        <v>732</v>
      </c>
      <c r="D61" s="8">
        <v>0.152</v>
      </c>
      <c r="E61" s="8">
        <v>3.04</v>
      </c>
      <c r="F61" s="8" t="s">
        <v>659</v>
      </c>
      <c r="G61" s="8">
        <v>17</v>
      </c>
      <c r="H61" s="8">
        <v>2.5840000000000001</v>
      </c>
      <c r="I61" s="8" t="s">
        <v>891</v>
      </c>
      <c r="J61" s="8" t="s">
        <v>87</v>
      </c>
      <c r="K61" s="8" t="s">
        <v>83</v>
      </c>
      <c r="L61" s="8">
        <v>31</v>
      </c>
    </row>
    <row r="62" spans="1:12" x14ac:dyDescent="0.2">
      <c r="A62" s="8" t="s">
        <v>305</v>
      </c>
      <c r="B62" s="8" t="s">
        <v>625</v>
      </c>
      <c r="C62" s="8" t="s">
        <v>747</v>
      </c>
      <c r="D62" s="8">
        <v>0.193</v>
      </c>
      <c r="E62" s="8">
        <v>3.86</v>
      </c>
      <c r="F62" s="8" t="s">
        <v>659</v>
      </c>
      <c r="G62" s="8">
        <v>17</v>
      </c>
      <c r="H62" s="8">
        <v>3.2810000000000001</v>
      </c>
      <c r="I62" s="8" t="s">
        <v>906</v>
      </c>
      <c r="J62" s="8" t="s">
        <v>87</v>
      </c>
      <c r="K62" s="8" t="s">
        <v>223</v>
      </c>
      <c r="L62" s="8">
        <v>31</v>
      </c>
    </row>
    <row r="63" spans="1:12" x14ac:dyDescent="0.2">
      <c r="A63" s="8" t="s">
        <v>142</v>
      </c>
      <c r="B63" s="8" t="s">
        <v>549</v>
      </c>
      <c r="C63" s="8" t="s">
        <v>714</v>
      </c>
      <c r="D63" s="8">
        <v>0.157</v>
      </c>
      <c r="E63" s="8">
        <v>3.14</v>
      </c>
      <c r="F63" s="8" t="s">
        <v>659</v>
      </c>
      <c r="G63" s="8">
        <v>17</v>
      </c>
      <c r="H63" s="8">
        <v>2.669</v>
      </c>
      <c r="I63" s="8" t="s">
        <v>871</v>
      </c>
      <c r="J63" s="8" t="s">
        <v>87</v>
      </c>
      <c r="K63" s="8" t="s">
        <v>83</v>
      </c>
      <c r="L63" s="8">
        <v>32</v>
      </c>
    </row>
    <row r="64" spans="1:12" x14ac:dyDescent="0.2">
      <c r="A64" s="8" t="s">
        <v>323</v>
      </c>
      <c r="B64" s="8" t="s">
        <v>614</v>
      </c>
      <c r="C64" s="8" t="s">
        <v>724</v>
      </c>
      <c r="D64" s="8">
        <v>0.17100000000000001</v>
      </c>
      <c r="E64" s="8">
        <v>3.42</v>
      </c>
      <c r="F64" s="8" t="s">
        <v>659</v>
      </c>
      <c r="G64" s="8">
        <v>17</v>
      </c>
      <c r="H64" s="8">
        <v>2.907</v>
      </c>
      <c r="I64" s="8" t="s">
        <v>881</v>
      </c>
      <c r="J64" s="8" t="s">
        <v>87</v>
      </c>
      <c r="K64" s="8" t="s">
        <v>223</v>
      </c>
      <c r="L64" s="8">
        <v>32</v>
      </c>
    </row>
    <row r="65" spans="1:12" x14ac:dyDescent="0.2">
      <c r="A65" s="8" t="s">
        <v>163</v>
      </c>
      <c r="B65" s="8" t="s">
        <v>587</v>
      </c>
      <c r="C65" s="8" t="s">
        <v>770</v>
      </c>
      <c r="D65" s="8">
        <v>0.157</v>
      </c>
      <c r="E65" s="8">
        <v>3.14</v>
      </c>
      <c r="F65" s="8" t="s">
        <v>659</v>
      </c>
      <c r="G65" s="8">
        <v>17</v>
      </c>
      <c r="H65" s="8">
        <v>2.669</v>
      </c>
      <c r="I65" s="8" t="s">
        <v>931</v>
      </c>
      <c r="J65" s="8" t="s">
        <v>87</v>
      </c>
      <c r="K65" s="8" t="s">
        <v>83</v>
      </c>
      <c r="L65" s="8">
        <v>33</v>
      </c>
    </row>
    <row r="66" spans="1:12" x14ac:dyDescent="0.2">
      <c r="A66" s="8" t="s">
        <v>347</v>
      </c>
      <c r="B66" s="8" t="s">
        <v>641</v>
      </c>
      <c r="C66" s="8" t="s">
        <v>780</v>
      </c>
      <c r="D66" s="8">
        <v>0.11700000000000001</v>
      </c>
      <c r="E66" s="8">
        <v>2.34</v>
      </c>
      <c r="F66" s="8" t="s">
        <v>659</v>
      </c>
      <c r="G66" s="8">
        <v>17</v>
      </c>
      <c r="H66" s="8">
        <v>1.9890000000000001</v>
      </c>
      <c r="I66" s="8" t="s">
        <v>941</v>
      </c>
      <c r="J66" s="8" t="s">
        <v>87</v>
      </c>
      <c r="K66" s="8" t="s">
        <v>223</v>
      </c>
      <c r="L66" s="8">
        <v>33</v>
      </c>
    </row>
    <row r="67" spans="1:12" x14ac:dyDescent="0.2">
      <c r="A67" s="8" t="s">
        <v>84</v>
      </c>
      <c r="B67" s="8" t="s">
        <v>485</v>
      </c>
      <c r="C67" s="8" t="s">
        <v>667</v>
      </c>
      <c r="D67" s="8">
        <v>0.14299999999999999</v>
      </c>
      <c r="E67" s="8">
        <v>2.86</v>
      </c>
      <c r="F67" s="8" t="s">
        <v>659</v>
      </c>
      <c r="G67" s="8">
        <v>17</v>
      </c>
      <c r="H67" s="8">
        <v>2.431</v>
      </c>
      <c r="I67" s="8" t="s">
        <v>824</v>
      </c>
      <c r="J67" s="8" t="s">
        <v>87</v>
      </c>
      <c r="K67" s="8" t="s">
        <v>83</v>
      </c>
      <c r="L67" s="8">
        <v>34</v>
      </c>
    </row>
    <row r="68" spans="1:12" x14ac:dyDescent="0.2">
      <c r="A68" s="8" t="s">
        <v>296</v>
      </c>
      <c r="B68" s="8" t="s">
        <v>480</v>
      </c>
      <c r="C68" s="8" t="s">
        <v>679</v>
      </c>
      <c r="D68" s="8">
        <v>0.124</v>
      </c>
      <c r="E68" s="8">
        <v>2.48</v>
      </c>
      <c r="F68" s="8" t="s">
        <v>659</v>
      </c>
      <c r="G68" s="8">
        <v>17</v>
      </c>
      <c r="H68" s="8">
        <v>2.1080000000000001</v>
      </c>
      <c r="I68" s="8" t="s">
        <v>836</v>
      </c>
      <c r="J68" s="8" t="s">
        <v>87</v>
      </c>
      <c r="K68" s="8" t="s">
        <v>223</v>
      </c>
      <c r="L68" s="8">
        <v>34</v>
      </c>
    </row>
    <row r="69" spans="1:12" x14ac:dyDescent="0.2">
      <c r="A69" s="8" t="s">
        <v>154</v>
      </c>
      <c r="B69" s="8" t="s">
        <v>486</v>
      </c>
      <c r="C69" s="8" t="s">
        <v>681</v>
      </c>
      <c r="D69" s="8">
        <v>0.13800000000000001</v>
      </c>
      <c r="E69" s="8">
        <v>2.76</v>
      </c>
      <c r="F69" s="8" t="s">
        <v>659</v>
      </c>
      <c r="G69" s="8">
        <v>17</v>
      </c>
      <c r="H69" s="8">
        <v>2.3460000000000001</v>
      </c>
      <c r="I69" s="8" t="s">
        <v>838</v>
      </c>
      <c r="J69" s="8" t="s">
        <v>87</v>
      </c>
      <c r="K69" s="8" t="s">
        <v>83</v>
      </c>
      <c r="L69" s="8">
        <v>35</v>
      </c>
    </row>
    <row r="70" spans="1:12" x14ac:dyDescent="0.2">
      <c r="A70" s="8" t="s">
        <v>344</v>
      </c>
      <c r="B70" s="8" t="s">
        <v>481</v>
      </c>
      <c r="C70" s="8" t="s">
        <v>682</v>
      </c>
      <c r="D70" s="8">
        <v>0.183</v>
      </c>
      <c r="E70" s="8">
        <v>3.66</v>
      </c>
      <c r="F70" s="8" t="s">
        <v>659</v>
      </c>
      <c r="G70" s="8">
        <v>17</v>
      </c>
      <c r="H70" s="8">
        <v>3.1110000000000002</v>
      </c>
      <c r="I70" s="8" t="s">
        <v>839</v>
      </c>
      <c r="J70" s="8" t="s">
        <v>87</v>
      </c>
      <c r="K70" s="8" t="s">
        <v>223</v>
      </c>
      <c r="L70" s="8">
        <v>35</v>
      </c>
    </row>
    <row r="71" spans="1:12" x14ac:dyDescent="0.2">
      <c r="A71" s="8" t="s">
        <v>284</v>
      </c>
      <c r="B71" s="8" t="s">
        <v>620</v>
      </c>
      <c r="C71" s="8" t="s">
        <v>738</v>
      </c>
      <c r="D71" s="8">
        <v>0.153</v>
      </c>
      <c r="E71" s="8">
        <v>3.06</v>
      </c>
      <c r="F71" s="8" t="s">
        <v>659</v>
      </c>
      <c r="G71" s="8">
        <v>17</v>
      </c>
      <c r="H71" s="8">
        <v>2.601</v>
      </c>
      <c r="I71" s="8" t="s">
        <v>897</v>
      </c>
      <c r="J71" s="8" t="s">
        <v>87</v>
      </c>
      <c r="K71" s="8" t="s">
        <v>223</v>
      </c>
      <c r="L71" s="8">
        <v>36</v>
      </c>
    </row>
    <row r="72" spans="1:12" x14ac:dyDescent="0.2">
      <c r="A72" s="8" t="s">
        <v>127</v>
      </c>
      <c r="B72" s="8" t="s">
        <v>568</v>
      </c>
      <c r="C72" s="8" t="s">
        <v>739</v>
      </c>
      <c r="D72" s="8">
        <v>0.16700000000000001</v>
      </c>
      <c r="E72" s="8">
        <v>3.34</v>
      </c>
      <c r="F72" s="8" t="s">
        <v>659</v>
      </c>
      <c r="G72" s="8">
        <v>17</v>
      </c>
      <c r="H72" s="8">
        <v>2.839</v>
      </c>
      <c r="I72" s="8" t="s">
        <v>898</v>
      </c>
      <c r="J72" s="8" t="s">
        <v>87</v>
      </c>
      <c r="K72" s="8" t="s">
        <v>83</v>
      </c>
      <c r="L72" s="8">
        <v>36</v>
      </c>
    </row>
    <row r="73" spans="1:12" x14ac:dyDescent="0.2">
      <c r="A73" s="8" t="s">
        <v>136</v>
      </c>
      <c r="B73" s="8" t="s">
        <v>589</v>
      </c>
      <c r="C73" s="8" t="s">
        <v>774</v>
      </c>
      <c r="D73" s="8">
        <v>0.125</v>
      </c>
      <c r="E73" s="8">
        <v>2.5</v>
      </c>
      <c r="F73" s="8" t="s">
        <v>659</v>
      </c>
      <c r="G73" s="8">
        <v>17</v>
      </c>
      <c r="H73" s="8">
        <v>2.125</v>
      </c>
      <c r="I73" s="8" t="s">
        <v>935</v>
      </c>
      <c r="J73" s="8" t="s">
        <v>87</v>
      </c>
      <c r="K73" s="8" t="s">
        <v>83</v>
      </c>
      <c r="L73" s="8">
        <v>37</v>
      </c>
    </row>
    <row r="74" spans="1:12" x14ac:dyDescent="0.2">
      <c r="A74" s="8" t="s">
        <v>335</v>
      </c>
      <c r="B74" s="8" t="s">
        <v>639</v>
      </c>
      <c r="C74" s="8" t="s">
        <v>776</v>
      </c>
      <c r="D74" s="8">
        <v>7.3300000000000004E-2</v>
      </c>
      <c r="E74" s="8">
        <v>1.466</v>
      </c>
      <c r="F74" s="8" t="s">
        <v>659</v>
      </c>
      <c r="G74" s="8">
        <v>17</v>
      </c>
      <c r="H74" s="8">
        <v>1.2461</v>
      </c>
      <c r="I74" s="8" t="s">
        <v>937</v>
      </c>
      <c r="J74" s="8" t="s">
        <v>87</v>
      </c>
      <c r="K74" s="8" t="s">
        <v>223</v>
      </c>
      <c r="L74" s="8">
        <v>37</v>
      </c>
    </row>
    <row r="75" spans="1:12" x14ac:dyDescent="0.2">
      <c r="A75" s="8" t="s">
        <v>88</v>
      </c>
      <c r="B75" s="8" t="s">
        <v>583</v>
      </c>
      <c r="C75" s="8" t="s">
        <v>761</v>
      </c>
      <c r="D75" s="8">
        <v>0.107</v>
      </c>
      <c r="E75" s="8">
        <v>2.14</v>
      </c>
      <c r="F75" s="8" t="s">
        <v>659</v>
      </c>
      <c r="G75" s="8">
        <v>17</v>
      </c>
      <c r="H75" s="8">
        <v>1.819</v>
      </c>
      <c r="I75" s="8" t="s">
        <v>920</v>
      </c>
      <c r="J75" s="8" t="s">
        <v>87</v>
      </c>
      <c r="K75" s="8" t="s">
        <v>83</v>
      </c>
      <c r="L75" s="8">
        <v>38</v>
      </c>
    </row>
    <row r="76" spans="1:12" x14ac:dyDescent="0.2">
      <c r="A76" s="8" t="s">
        <v>299</v>
      </c>
      <c r="B76" s="8" t="s">
        <v>632</v>
      </c>
      <c r="C76" s="8" t="s">
        <v>764</v>
      </c>
      <c r="D76" s="8">
        <v>0.115</v>
      </c>
      <c r="E76" s="8">
        <v>2.2999999999999998</v>
      </c>
      <c r="F76" s="8" t="s">
        <v>659</v>
      </c>
      <c r="G76" s="8">
        <v>17</v>
      </c>
      <c r="H76" s="8">
        <v>1.9550000000000001</v>
      </c>
      <c r="I76" s="8" t="s">
        <v>925</v>
      </c>
      <c r="J76" s="8" t="s">
        <v>87</v>
      </c>
      <c r="K76" s="8" t="s">
        <v>223</v>
      </c>
      <c r="L76" s="8">
        <v>38</v>
      </c>
    </row>
    <row r="77" spans="1:12" x14ac:dyDescent="0.2">
      <c r="A77" s="8" t="s">
        <v>166</v>
      </c>
      <c r="B77" s="8" t="s">
        <v>579</v>
      </c>
      <c r="C77" s="8" t="s">
        <v>756</v>
      </c>
      <c r="D77" s="8">
        <v>0.111</v>
      </c>
      <c r="E77" s="8">
        <v>2.2200000000000002</v>
      </c>
      <c r="F77" s="8" t="s">
        <v>659</v>
      </c>
      <c r="G77" s="8">
        <v>17</v>
      </c>
      <c r="H77" s="8">
        <v>1.887</v>
      </c>
      <c r="I77" s="8" t="s">
        <v>915</v>
      </c>
      <c r="J77" s="8" t="s">
        <v>87</v>
      </c>
      <c r="K77" s="8" t="s">
        <v>83</v>
      </c>
      <c r="L77" s="8">
        <v>39</v>
      </c>
    </row>
    <row r="78" spans="1:12" x14ac:dyDescent="0.2">
      <c r="A78" s="8" t="s">
        <v>332</v>
      </c>
      <c r="B78" s="8" t="s">
        <v>634</v>
      </c>
      <c r="C78" s="8" t="s">
        <v>767</v>
      </c>
      <c r="D78" s="8">
        <v>0.217</v>
      </c>
      <c r="E78" s="8">
        <v>4.34</v>
      </c>
      <c r="F78" s="8" t="s">
        <v>659</v>
      </c>
      <c r="G78" s="8">
        <v>17</v>
      </c>
      <c r="H78" s="8">
        <v>3.6890000000000001</v>
      </c>
      <c r="I78" s="8" t="s">
        <v>928</v>
      </c>
      <c r="J78" s="8" t="s">
        <v>87</v>
      </c>
      <c r="K78" s="8" t="s">
        <v>223</v>
      </c>
      <c r="L78" s="8">
        <v>39</v>
      </c>
    </row>
    <row r="79" spans="1:12" x14ac:dyDescent="0.2">
      <c r="A79" s="8" t="s">
        <v>118</v>
      </c>
      <c r="B79" s="8" t="s">
        <v>575</v>
      </c>
      <c r="C79" s="8" t="s">
        <v>752</v>
      </c>
      <c r="D79" s="8">
        <v>0.115</v>
      </c>
      <c r="E79" s="8">
        <v>2.2999999999999998</v>
      </c>
      <c r="F79" s="8" t="s">
        <v>659</v>
      </c>
      <c r="G79" s="8">
        <v>17</v>
      </c>
      <c r="H79" s="8">
        <v>1.9550000000000001</v>
      </c>
      <c r="I79" s="8" t="s">
        <v>911</v>
      </c>
      <c r="J79" s="8" t="s">
        <v>87</v>
      </c>
      <c r="K79" s="8" t="s">
        <v>83</v>
      </c>
      <c r="L79" s="8">
        <v>40</v>
      </c>
    </row>
    <row r="80" spans="1:12" x14ac:dyDescent="0.2">
      <c r="A80" s="8" t="s">
        <v>314</v>
      </c>
      <c r="B80" s="8" t="s">
        <v>629</v>
      </c>
      <c r="C80" s="8" t="s">
        <v>502</v>
      </c>
      <c r="D80" s="8">
        <v>0.14000000000000001</v>
      </c>
      <c r="E80" s="8">
        <v>2.8</v>
      </c>
      <c r="F80" s="8" t="s">
        <v>659</v>
      </c>
      <c r="G80" s="8">
        <v>17</v>
      </c>
      <c r="H80" s="8">
        <v>2.38</v>
      </c>
      <c r="I80" s="8" t="s">
        <v>921</v>
      </c>
      <c r="J80" s="8" t="s">
        <v>87</v>
      </c>
      <c r="K80" s="8" t="s">
        <v>223</v>
      </c>
      <c r="L80" s="8">
        <v>40</v>
      </c>
    </row>
    <row r="81" spans="1:12" x14ac:dyDescent="0.2">
      <c r="A81" s="8" t="s">
        <v>320</v>
      </c>
      <c r="B81" s="8" t="s">
        <v>611</v>
      </c>
      <c r="C81" s="8" t="s">
        <v>717</v>
      </c>
      <c r="D81" s="8">
        <v>0.191</v>
      </c>
      <c r="E81" s="8">
        <v>3.82</v>
      </c>
      <c r="F81" s="8" t="s">
        <v>659</v>
      </c>
      <c r="G81" s="8">
        <v>17</v>
      </c>
      <c r="H81" s="8">
        <v>3.2469999999999999</v>
      </c>
      <c r="I81" s="8" t="s">
        <v>874</v>
      </c>
      <c r="J81" s="8" t="s">
        <v>87</v>
      </c>
      <c r="K81" s="8" t="s">
        <v>223</v>
      </c>
      <c r="L81" s="8">
        <v>41</v>
      </c>
    </row>
    <row r="82" spans="1:12" x14ac:dyDescent="0.2">
      <c r="A82" s="8" t="s">
        <v>145</v>
      </c>
      <c r="B82" s="8" t="s">
        <v>554</v>
      </c>
      <c r="C82" s="8" t="s">
        <v>718</v>
      </c>
      <c r="D82" s="8">
        <v>0.14499999999999999</v>
      </c>
      <c r="E82" s="8">
        <v>2.9</v>
      </c>
      <c r="F82" s="8" t="s">
        <v>659</v>
      </c>
      <c r="G82" s="8">
        <v>17</v>
      </c>
      <c r="H82" s="8">
        <v>2.4649999999999999</v>
      </c>
      <c r="I82" s="8" t="s">
        <v>875</v>
      </c>
      <c r="J82" s="8" t="s">
        <v>87</v>
      </c>
      <c r="K82" s="8" t="s">
        <v>83</v>
      </c>
      <c r="L82" s="8">
        <v>41</v>
      </c>
    </row>
    <row r="83" spans="1:12" x14ac:dyDescent="0.2">
      <c r="A83" s="8" t="s">
        <v>329</v>
      </c>
      <c r="B83" s="8" t="s">
        <v>482</v>
      </c>
      <c r="C83" s="8" t="s">
        <v>671</v>
      </c>
      <c r="D83" s="8">
        <v>0.11600000000000001</v>
      </c>
      <c r="E83" s="8">
        <v>2.3199999999999998</v>
      </c>
      <c r="F83" s="8" t="s">
        <v>659</v>
      </c>
      <c r="G83" s="8">
        <v>17</v>
      </c>
      <c r="H83" s="8">
        <v>1.972</v>
      </c>
      <c r="I83" s="8" t="s">
        <v>828</v>
      </c>
      <c r="J83" s="8" t="s">
        <v>87</v>
      </c>
      <c r="K83" s="8" t="s">
        <v>223</v>
      </c>
      <c r="L83" s="8">
        <v>42</v>
      </c>
    </row>
    <row r="84" spans="1:12" x14ac:dyDescent="0.2">
      <c r="A84" s="8" t="s">
        <v>124</v>
      </c>
      <c r="B84" s="8" t="s">
        <v>487</v>
      </c>
      <c r="C84" s="8" t="s">
        <v>678</v>
      </c>
      <c r="D84" s="8">
        <v>0.20200000000000001</v>
      </c>
      <c r="E84" s="8">
        <v>4.04</v>
      </c>
      <c r="F84" s="8" t="s">
        <v>659</v>
      </c>
      <c r="G84" s="8">
        <v>17</v>
      </c>
      <c r="H84" s="8">
        <v>3.4340000000000002</v>
      </c>
      <c r="I84" s="8" t="s">
        <v>835</v>
      </c>
      <c r="J84" s="8" t="s">
        <v>87</v>
      </c>
      <c r="K84" s="8" t="s">
        <v>83</v>
      </c>
      <c r="L84" s="8">
        <v>42</v>
      </c>
    </row>
    <row r="85" spans="1:12" x14ac:dyDescent="0.2">
      <c r="A85" s="8" t="s">
        <v>157</v>
      </c>
      <c r="B85" s="8" t="s">
        <v>488</v>
      </c>
      <c r="C85" s="8" t="s">
        <v>680</v>
      </c>
      <c r="D85" s="8">
        <v>0.14699999999999999</v>
      </c>
      <c r="E85" s="8">
        <v>2.94</v>
      </c>
      <c r="F85" s="8" t="s">
        <v>659</v>
      </c>
      <c r="G85" s="8">
        <v>17</v>
      </c>
      <c r="H85" s="8">
        <v>2.4990000000000001</v>
      </c>
      <c r="I85" s="8" t="s">
        <v>837</v>
      </c>
      <c r="J85" s="8" t="s">
        <v>87</v>
      </c>
      <c r="K85" s="8" t="s">
        <v>83</v>
      </c>
      <c r="L85" s="8">
        <v>43</v>
      </c>
    </row>
    <row r="86" spans="1:12" x14ac:dyDescent="0.2">
      <c r="A86" s="8" t="s">
        <v>356</v>
      </c>
      <c r="B86" s="8" t="s">
        <v>483</v>
      </c>
      <c r="C86" s="8" t="s">
        <v>683</v>
      </c>
      <c r="D86" s="8">
        <v>0.25700000000000001</v>
      </c>
      <c r="E86" s="8">
        <v>5.14</v>
      </c>
      <c r="F86" s="8" t="s">
        <v>659</v>
      </c>
      <c r="G86" s="8">
        <v>17</v>
      </c>
      <c r="H86" s="8">
        <v>4.3689999999999998</v>
      </c>
      <c r="I86" s="8" t="s">
        <v>840</v>
      </c>
      <c r="J86" s="8" t="s">
        <v>87</v>
      </c>
      <c r="K86" s="8" t="s">
        <v>223</v>
      </c>
      <c r="L86" s="8">
        <v>43</v>
      </c>
    </row>
    <row r="87" spans="1:12" x14ac:dyDescent="0.2">
      <c r="A87" s="8" t="s">
        <v>91</v>
      </c>
      <c r="B87" s="8" t="s">
        <v>574</v>
      </c>
      <c r="C87" s="8" t="s">
        <v>751</v>
      </c>
      <c r="D87" s="8">
        <v>8.0699999999999994E-2</v>
      </c>
      <c r="E87" s="8">
        <v>1.6140000000000001</v>
      </c>
      <c r="F87" s="8" t="s">
        <v>659</v>
      </c>
      <c r="G87" s="8">
        <v>17</v>
      </c>
      <c r="H87" s="8">
        <v>1.3718999999999999</v>
      </c>
      <c r="I87" s="8" t="s">
        <v>910</v>
      </c>
      <c r="J87" s="8" t="s">
        <v>12</v>
      </c>
      <c r="K87" s="8" t="s">
        <v>83</v>
      </c>
      <c r="L87" s="8">
        <v>44</v>
      </c>
    </row>
    <row r="88" spans="1:12" x14ac:dyDescent="0.2">
      <c r="A88" s="8" t="s">
        <v>139</v>
      </c>
      <c r="B88" s="8" t="s">
        <v>535</v>
      </c>
      <c r="C88" s="8" t="s">
        <v>688</v>
      </c>
      <c r="D88" s="8">
        <v>0.154</v>
      </c>
      <c r="E88" s="8">
        <v>3.08</v>
      </c>
      <c r="F88" s="8" t="s">
        <v>659</v>
      </c>
      <c r="G88" s="8">
        <v>17</v>
      </c>
      <c r="H88" s="8">
        <v>2.6179999999999999</v>
      </c>
      <c r="I88" s="8" t="s">
        <v>845</v>
      </c>
      <c r="J88" s="8" t="s">
        <v>12</v>
      </c>
      <c r="K88" s="8" t="s">
        <v>83</v>
      </c>
      <c r="L88" s="8">
        <v>45</v>
      </c>
    </row>
    <row r="89" spans="1:12" x14ac:dyDescent="0.2">
      <c r="A89" s="8" t="s">
        <v>239</v>
      </c>
      <c r="B89" s="8" t="s">
        <v>602</v>
      </c>
      <c r="C89" s="8" t="s">
        <v>698</v>
      </c>
      <c r="D89" s="8">
        <v>0.20499999999999999</v>
      </c>
      <c r="E89" s="8">
        <v>4.0999999999999996</v>
      </c>
      <c r="F89" s="8" t="s">
        <v>659</v>
      </c>
      <c r="G89" s="8">
        <v>17</v>
      </c>
      <c r="H89" s="8">
        <v>3.4849999999999999</v>
      </c>
      <c r="I89" s="8" t="s">
        <v>855</v>
      </c>
      <c r="J89" s="8" t="s">
        <v>12</v>
      </c>
      <c r="K89" s="8" t="s">
        <v>223</v>
      </c>
      <c r="L89" s="8">
        <v>45</v>
      </c>
    </row>
    <row r="90" spans="1:12" x14ac:dyDescent="0.2">
      <c r="A90" s="8" t="s">
        <v>263</v>
      </c>
      <c r="B90" s="8" t="s">
        <v>606</v>
      </c>
      <c r="C90" s="8" t="s">
        <v>705</v>
      </c>
      <c r="D90" s="8">
        <v>0.27900000000000003</v>
      </c>
      <c r="E90" s="8">
        <v>5.58</v>
      </c>
      <c r="F90" s="8" t="s">
        <v>659</v>
      </c>
      <c r="G90" s="8">
        <v>17</v>
      </c>
      <c r="H90" s="8">
        <v>4.7430000000000003</v>
      </c>
      <c r="I90" s="8" t="s">
        <v>862</v>
      </c>
      <c r="J90" s="8" t="s">
        <v>12</v>
      </c>
      <c r="K90" s="8" t="s">
        <v>223</v>
      </c>
      <c r="L90" s="8">
        <v>46</v>
      </c>
    </row>
    <row r="91" spans="1:12" x14ac:dyDescent="0.2">
      <c r="A91" s="8" t="s">
        <v>80</v>
      </c>
      <c r="B91" s="8" t="s">
        <v>545</v>
      </c>
      <c r="C91" s="8" t="s">
        <v>706</v>
      </c>
      <c r="D91" s="8">
        <v>0.34</v>
      </c>
      <c r="E91" s="8">
        <v>6.8</v>
      </c>
      <c r="F91" s="8" t="s">
        <v>659</v>
      </c>
      <c r="G91" s="8">
        <v>17</v>
      </c>
      <c r="H91" s="8">
        <v>5.78</v>
      </c>
      <c r="I91" s="8" t="s">
        <v>863</v>
      </c>
      <c r="J91" s="8" t="s">
        <v>12</v>
      </c>
      <c r="K91" s="8" t="s">
        <v>83</v>
      </c>
      <c r="L91" s="8">
        <v>46</v>
      </c>
    </row>
    <row r="92" spans="1:12" x14ac:dyDescent="0.2">
      <c r="A92" s="8" t="s">
        <v>383</v>
      </c>
      <c r="B92" s="8" t="s">
        <v>610</v>
      </c>
      <c r="C92" s="8" t="s">
        <v>713</v>
      </c>
      <c r="D92" s="8">
        <v>0.14499999999999999</v>
      </c>
      <c r="E92" s="8">
        <v>2.9</v>
      </c>
      <c r="F92" s="8" t="s">
        <v>659</v>
      </c>
      <c r="G92" s="8">
        <v>17</v>
      </c>
      <c r="H92" s="8">
        <v>2.4649999999999999</v>
      </c>
      <c r="I92" s="8" t="s">
        <v>870</v>
      </c>
      <c r="J92" s="8" t="s">
        <v>12</v>
      </c>
      <c r="K92" s="8" t="s">
        <v>83</v>
      </c>
      <c r="L92" s="8">
        <v>47</v>
      </c>
    </row>
    <row r="93" spans="1:12" x14ac:dyDescent="0.2">
      <c r="A93" s="8" t="s">
        <v>260</v>
      </c>
      <c r="B93" s="8" t="s">
        <v>612</v>
      </c>
      <c r="C93" s="8" t="s">
        <v>719</v>
      </c>
      <c r="D93" s="8">
        <v>0.20100000000000001</v>
      </c>
      <c r="E93" s="8">
        <v>4.0199999999999996</v>
      </c>
      <c r="F93" s="8" t="s">
        <v>659</v>
      </c>
      <c r="G93" s="8">
        <v>17</v>
      </c>
      <c r="H93" s="8">
        <v>3.4169999999999998</v>
      </c>
      <c r="I93" s="8" t="s">
        <v>876</v>
      </c>
      <c r="J93" s="8" t="s">
        <v>12</v>
      </c>
      <c r="K93" s="8" t="s">
        <v>223</v>
      </c>
      <c r="L93" s="8">
        <v>47</v>
      </c>
    </row>
    <row r="94" spans="1:12" x14ac:dyDescent="0.2">
      <c r="A94" s="8" t="s">
        <v>257</v>
      </c>
      <c r="B94" s="8" t="s">
        <v>607</v>
      </c>
      <c r="C94" s="8" t="s">
        <v>708</v>
      </c>
      <c r="D94" s="8">
        <v>0.121</v>
      </c>
      <c r="E94" s="8">
        <v>2.42</v>
      </c>
      <c r="F94" s="8" t="s">
        <v>659</v>
      </c>
      <c r="G94" s="8">
        <v>17</v>
      </c>
      <c r="H94" s="8">
        <v>2.0569999999999999</v>
      </c>
      <c r="I94" s="8" t="s">
        <v>865</v>
      </c>
      <c r="J94" s="8" t="s">
        <v>12</v>
      </c>
      <c r="K94" s="8" t="s">
        <v>223</v>
      </c>
      <c r="L94" s="8">
        <v>48</v>
      </c>
    </row>
    <row r="95" spans="1:12" x14ac:dyDescent="0.2">
      <c r="A95" s="8" t="s">
        <v>371</v>
      </c>
      <c r="B95" s="8" t="s">
        <v>608</v>
      </c>
      <c r="C95" s="8" t="s">
        <v>709</v>
      </c>
      <c r="D95" s="8">
        <v>0.124</v>
      </c>
      <c r="E95" s="8">
        <v>2.48</v>
      </c>
      <c r="F95" s="8" t="s">
        <v>659</v>
      </c>
      <c r="G95" s="8">
        <v>17</v>
      </c>
      <c r="H95" s="8">
        <v>2.1080000000000001</v>
      </c>
      <c r="I95" s="8" t="s">
        <v>866</v>
      </c>
      <c r="J95" s="8" t="s">
        <v>12</v>
      </c>
      <c r="K95" s="8" t="s">
        <v>83</v>
      </c>
      <c r="L95" s="8">
        <v>48</v>
      </c>
    </row>
    <row r="96" spans="1:12" x14ac:dyDescent="0.2">
      <c r="A96" s="8" t="s">
        <v>35</v>
      </c>
      <c r="B96" s="8" t="s">
        <v>493</v>
      </c>
      <c r="C96" s="8" t="s">
        <v>665</v>
      </c>
      <c r="D96" s="8">
        <v>0.10199999999999999</v>
      </c>
      <c r="E96" s="8">
        <v>2.04</v>
      </c>
      <c r="F96" s="8" t="s">
        <v>659</v>
      </c>
      <c r="G96" s="8">
        <v>17</v>
      </c>
      <c r="H96" s="8">
        <v>1.734</v>
      </c>
      <c r="I96" s="8" t="s">
        <v>822</v>
      </c>
      <c r="J96" s="8" t="s">
        <v>12</v>
      </c>
      <c r="K96" s="8" t="s">
        <v>14</v>
      </c>
      <c r="L96" s="8" t="s">
        <v>969</v>
      </c>
    </row>
    <row r="97" spans="1:12" x14ac:dyDescent="0.2">
      <c r="A97" s="8" t="s">
        <v>169</v>
      </c>
      <c r="B97" s="8" t="s">
        <v>491</v>
      </c>
      <c r="C97" s="8" t="s">
        <v>668</v>
      </c>
      <c r="D97" s="8">
        <v>0.11899999999999999</v>
      </c>
      <c r="E97" s="8">
        <v>2.38</v>
      </c>
      <c r="F97" s="8" t="s">
        <v>659</v>
      </c>
      <c r="G97" s="8">
        <v>17</v>
      </c>
      <c r="H97" s="8">
        <v>2.0230000000000001</v>
      </c>
      <c r="I97" s="8" t="s">
        <v>825</v>
      </c>
      <c r="J97" s="8" t="s">
        <v>12</v>
      </c>
      <c r="K97" s="8" t="s">
        <v>14</v>
      </c>
      <c r="L97" s="8" t="s">
        <v>969</v>
      </c>
    </row>
    <row r="98" spans="1:12" x14ac:dyDescent="0.2">
      <c r="A98" s="8" t="s">
        <v>49</v>
      </c>
      <c r="B98" s="8" t="s">
        <v>495</v>
      </c>
      <c r="C98" s="8" t="s">
        <v>669</v>
      </c>
      <c r="D98" s="8">
        <v>0.13700000000000001</v>
      </c>
      <c r="E98" s="8">
        <v>2.74</v>
      </c>
      <c r="F98" s="8" t="s">
        <v>659</v>
      </c>
      <c r="G98" s="8">
        <v>17</v>
      </c>
      <c r="H98" s="8">
        <v>2.3290000000000002</v>
      </c>
      <c r="I98" s="8" t="s">
        <v>826</v>
      </c>
      <c r="J98" s="8" t="s">
        <v>12</v>
      </c>
      <c r="K98" s="8" t="s">
        <v>14</v>
      </c>
      <c r="L98" s="8" t="s">
        <v>969</v>
      </c>
    </row>
    <row r="99" spans="1:12" x14ac:dyDescent="0.2">
      <c r="A99" s="8" t="s">
        <v>41</v>
      </c>
      <c r="B99" s="8" t="s">
        <v>495</v>
      </c>
      <c r="C99" s="8" t="s">
        <v>672</v>
      </c>
      <c r="D99" s="8">
        <v>0.08</v>
      </c>
      <c r="E99" s="8">
        <v>1.6</v>
      </c>
      <c r="F99" s="8" t="s">
        <v>659</v>
      </c>
      <c r="G99" s="8">
        <v>17</v>
      </c>
      <c r="H99" s="8">
        <v>1.36</v>
      </c>
      <c r="I99" s="8" t="s">
        <v>829</v>
      </c>
      <c r="J99" s="8" t="s">
        <v>12</v>
      </c>
      <c r="K99" s="8" t="s">
        <v>14</v>
      </c>
      <c r="L99" s="8" t="s">
        <v>969</v>
      </c>
    </row>
    <row r="100" spans="1:12" x14ac:dyDescent="0.2">
      <c r="A100" s="8" t="s">
        <v>18</v>
      </c>
      <c r="B100" s="8" t="s">
        <v>489</v>
      </c>
      <c r="C100" s="8" t="s">
        <v>674</v>
      </c>
      <c r="D100" s="8">
        <v>0.127</v>
      </c>
      <c r="E100" s="8">
        <v>2.54</v>
      </c>
      <c r="F100" s="8" t="s">
        <v>659</v>
      </c>
      <c r="G100" s="8">
        <v>17</v>
      </c>
      <c r="H100" s="8">
        <v>2.1589999999999998</v>
      </c>
      <c r="I100" s="8" t="s">
        <v>831</v>
      </c>
      <c r="J100" s="8" t="s">
        <v>12</v>
      </c>
      <c r="K100" s="8" t="s">
        <v>14</v>
      </c>
      <c r="L100" s="8" t="s">
        <v>969</v>
      </c>
    </row>
    <row r="101" spans="1:12" x14ac:dyDescent="0.2">
      <c r="A101" s="8" t="s">
        <v>211</v>
      </c>
      <c r="B101" s="8" t="s">
        <v>490</v>
      </c>
      <c r="C101" s="8" t="s">
        <v>675</v>
      </c>
      <c r="D101" s="8">
        <v>0.14099999999999999</v>
      </c>
      <c r="E101" s="8">
        <v>2.82</v>
      </c>
      <c r="F101" s="8" t="s">
        <v>659</v>
      </c>
      <c r="G101" s="8">
        <v>17</v>
      </c>
      <c r="H101" s="8">
        <v>2.3969999999999998</v>
      </c>
      <c r="I101" s="8" t="s">
        <v>832</v>
      </c>
      <c r="J101" s="8" t="s">
        <v>12</v>
      </c>
      <c r="K101" s="8" t="s">
        <v>14</v>
      </c>
      <c r="L101" s="8" t="s">
        <v>969</v>
      </c>
    </row>
    <row r="102" spans="1:12" x14ac:dyDescent="0.2">
      <c r="A102" s="8" t="s">
        <v>202</v>
      </c>
      <c r="B102" s="8" t="s">
        <v>494</v>
      </c>
      <c r="C102" s="8" t="s">
        <v>677</v>
      </c>
      <c r="D102" s="8">
        <v>0.151</v>
      </c>
      <c r="E102" s="8">
        <v>3.02</v>
      </c>
      <c r="F102" s="8" t="s">
        <v>659</v>
      </c>
      <c r="G102" s="8">
        <v>17</v>
      </c>
      <c r="H102" s="8">
        <v>2.5670000000000002</v>
      </c>
      <c r="I102" s="8" t="s">
        <v>834</v>
      </c>
      <c r="J102" s="8" t="s">
        <v>12</v>
      </c>
      <c r="K102" s="8" t="s">
        <v>14</v>
      </c>
      <c r="L102" s="8" t="s">
        <v>969</v>
      </c>
    </row>
    <row r="103" spans="1:12" x14ac:dyDescent="0.2">
      <c r="A103" s="8" t="s">
        <v>67</v>
      </c>
      <c r="B103" s="8" t="s">
        <v>533</v>
      </c>
      <c r="C103" s="8" t="s">
        <v>684</v>
      </c>
      <c r="D103" s="8">
        <v>0.128</v>
      </c>
      <c r="E103" s="8">
        <v>2.56</v>
      </c>
      <c r="F103" s="8" t="s">
        <v>659</v>
      </c>
      <c r="G103" s="8">
        <v>17</v>
      </c>
      <c r="H103" s="8">
        <v>2.1760000000000002</v>
      </c>
      <c r="I103" s="8" t="s">
        <v>841</v>
      </c>
      <c r="J103" s="8" t="s">
        <v>12</v>
      </c>
      <c r="K103" s="8" t="s">
        <v>14</v>
      </c>
      <c r="L103" s="8" t="s">
        <v>969</v>
      </c>
    </row>
    <row r="104" spans="1:12" x14ac:dyDescent="0.2">
      <c r="A104" s="8" t="s">
        <v>184</v>
      </c>
      <c r="B104" s="8" t="s">
        <v>534</v>
      </c>
      <c r="C104" s="8" t="s">
        <v>685</v>
      </c>
      <c r="D104" s="8">
        <v>6.13E-2</v>
      </c>
      <c r="E104" s="8">
        <v>1.226</v>
      </c>
      <c r="F104" s="8" t="s">
        <v>659</v>
      </c>
      <c r="G104" s="8">
        <v>17</v>
      </c>
      <c r="H104" s="8">
        <v>1.0421</v>
      </c>
      <c r="I104" s="8" t="s">
        <v>842</v>
      </c>
      <c r="J104" s="8" t="s">
        <v>12</v>
      </c>
      <c r="K104" s="8" t="s">
        <v>14</v>
      </c>
      <c r="L104" s="8" t="s">
        <v>969</v>
      </c>
    </row>
    <row r="105" spans="1:12" x14ac:dyDescent="0.2">
      <c r="A105" s="8" t="s">
        <v>57</v>
      </c>
      <c r="B105" s="8" t="s">
        <v>536</v>
      </c>
      <c r="C105" s="8" t="s">
        <v>691</v>
      </c>
      <c r="D105" s="8">
        <v>0.122</v>
      </c>
      <c r="E105" s="8">
        <v>2.44</v>
      </c>
      <c r="F105" s="8" t="s">
        <v>659</v>
      </c>
      <c r="G105" s="8">
        <v>17</v>
      </c>
      <c r="H105" s="8">
        <v>2.0739999999999998</v>
      </c>
      <c r="I105" s="8" t="s">
        <v>848</v>
      </c>
      <c r="J105" s="8" t="s">
        <v>12</v>
      </c>
      <c r="K105" s="8" t="s">
        <v>14</v>
      </c>
      <c r="L105" s="8" t="s">
        <v>969</v>
      </c>
    </row>
    <row r="106" spans="1:12" x14ac:dyDescent="0.2">
      <c r="A106" s="8" t="s">
        <v>39</v>
      </c>
      <c r="B106" s="8" t="s">
        <v>537</v>
      </c>
      <c r="C106" s="8" t="s">
        <v>693</v>
      </c>
      <c r="D106" s="8">
        <v>0.121</v>
      </c>
      <c r="E106" s="8">
        <v>2.42</v>
      </c>
      <c r="F106" s="8" t="s">
        <v>659</v>
      </c>
      <c r="G106" s="8">
        <v>17</v>
      </c>
      <c r="H106" s="8">
        <v>2.0569999999999999</v>
      </c>
      <c r="I106" s="8" t="s">
        <v>850</v>
      </c>
      <c r="J106" s="8" t="s">
        <v>12</v>
      </c>
      <c r="K106" s="8" t="s">
        <v>14</v>
      </c>
      <c r="L106" s="8" t="s">
        <v>969</v>
      </c>
    </row>
    <row r="107" spans="1:12" x14ac:dyDescent="0.2">
      <c r="A107" s="8" t="s">
        <v>51</v>
      </c>
      <c r="B107" s="8" t="s">
        <v>538</v>
      </c>
      <c r="C107" s="8" t="s">
        <v>694</v>
      </c>
      <c r="D107" s="8">
        <v>0.221</v>
      </c>
      <c r="E107" s="8">
        <v>4.42</v>
      </c>
      <c r="F107" s="8" t="s">
        <v>659</v>
      </c>
      <c r="G107" s="8">
        <v>17</v>
      </c>
      <c r="H107" s="8">
        <v>3.7570000000000001</v>
      </c>
      <c r="I107" s="8" t="s">
        <v>851</v>
      </c>
      <c r="J107" s="8" t="s">
        <v>12</v>
      </c>
      <c r="K107" s="8" t="s">
        <v>14</v>
      </c>
      <c r="L107" s="8" t="s">
        <v>969</v>
      </c>
    </row>
    <row r="108" spans="1:12" x14ac:dyDescent="0.2">
      <c r="A108" s="8" t="s">
        <v>65</v>
      </c>
      <c r="B108" s="8" t="s">
        <v>542</v>
      </c>
      <c r="C108" s="8" t="s">
        <v>699</v>
      </c>
      <c r="D108" s="8">
        <v>0.188</v>
      </c>
      <c r="E108" s="8">
        <v>3.76</v>
      </c>
      <c r="F108" s="8" t="s">
        <v>659</v>
      </c>
      <c r="G108" s="8">
        <v>17</v>
      </c>
      <c r="H108" s="8">
        <v>3.1960000000000002</v>
      </c>
      <c r="I108" s="8" t="s">
        <v>856</v>
      </c>
      <c r="J108" s="8" t="s">
        <v>12</v>
      </c>
      <c r="K108" s="8" t="s">
        <v>14</v>
      </c>
      <c r="L108" s="8" t="s">
        <v>969</v>
      </c>
    </row>
    <row r="109" spans="1:12" x14ac:dyDescent="0.2">
      <c r="A109" s="8" t="s">
        <v>181</v>
      </c>
      <c r="B109" s="8" t="s">
        <v>543</v>
      </c>
      <c r="C109" s="8" t="s">
        <v>700</v>
      </c>
      <c r="D109" s="8">
        <v>0.20699999999999999</v>
      </c>
      <c r="E109" s="8">
        <v>4.1399999999999997</v>
      </c>
      <c r="F109" s="8" t="s">
        <v>659</v>
      </c>
      <c r="G109" s="8">
        <v>17</v>
      </c>
      <c r="H109" s="8">
        <v>3.5190000000000001</v>
      </c>
      <c r="I109" s="8" t="s">
        <v>857</v>
      </c>
      <c r="J109" s="8" t="s">
        <v>12</v>
      </c>
      <c r="K109" s="8" t="s">
        <v>14</v>
      </c>
      <c r="L109" s="8" t="s">
        <v>969</v>
      </c>
    </row>
    <row r="110" spans="1:12" x14ac:dyDescent="0.2">
      <c r="A110" s="8" t="s">
        <v>205</v>
      </c>
      <c r="B110" s="8" t="s">
        <v>546</v>
      </c>
      <c r="C110" s="8" t="s">
        <v>707</v>
      </c>
      <c r="D110" s="8">
        <v>0.17799999999999999</v>
      </c>
      <c r="E110" s="8">
        <v>3.56</v>
      </c>
      <c r="F110" s="8" t="s">
        <v>659</v>
      </c>
      <c r="G110" s="8">
        <v>17</v>
      </c>
      <c r="H110" s="8">
        <v>3.0259999999999998</v>
      </c>
      <c r="I110" s="8" t="s">
        <v>864</v>
      </c>
      <c r="J110" s="8" t="s">
        <v>12</v>
      </c>
      <c r="K110" s="8" t="s">
        <v>14</v>
      </c>
      <c r="L110" s="8" t="s">
        <v>969</v>
      </c>
    </row>
    <row r="111" spans="1:12" x14ac:dyDescent="0.2">
      <c r="A111" s="8" t="s">
        <v>178</v>
      </c>
      <c r="B111" s="8" t="s">
        <v>548</v>
      </c>
      <c r="C111" s="8" t="s">
        <v>712</v>
      </c>
      <c r="D111" s="8">
        <v>0.156</v>
      </c>
      <c r="E111" s="8">
        <v>3.12</v>
      </c>
      <c r="F111" s="8" t="s">
        <v>659</v>
      </c>
      <c r="G111" s="8">
        <v>17</v>
      </c>
      <c r="H111" s="8">
        <v>2.6520000000000001</v>
      </c>
      <c r="I111" s="8" t="s">
        <v>869</v>
      </c>
      <c r="J111" s="8" t="s">
        <v>12</v>
      </c>
      <c r="K111" s="8" t="s">
        <v>14</v>
      </c>
      <c r="L111" s="8" t="s">
        <v>969</v>
      </c>
    </row>
    <row r="112" spans="1:12" x14ac:dyDescent="0.2">
      <c r="A112" s="8" t="s">
        <v>69</v>
      </c>
      <c r="B112" s="8" t="s">
        <v>550</v>
      </c>
      <c r="C112" s="8" t="s">
        <v>715</v>
      </c>
      <c r="D112" s="8">
        <v>0.10100000000000001</v>
      </c>
      <c r="E112" s="8">
        <v>2.02</v>
      </c>
      <c r="F112" s="8" t="s">
        <v>659</v>
      </c>
      <c r="G112" s="8">
        <v>17</v>
      </c>
      <c r="H112" s="8">
        <v>1.7170000000000001</v>
      </c>
      <c r="I112" s="8" t="s">
        <v>872</v>
      </c>
      <c r="J112" s="8" t="s">
        <v>12</v>
      </c>
      <c r="K112" s="8" t="s">
        <v>14</v>
      </c>
      <c r="L112" s="8" t="s">
        <v>969</v>
      </c>
    </row>
    <row r="113" spans="1:12" x14ac:dyDescent="0.2">
      <c r="A113" s="8" t="s">
        <v>10</v>
      </c>
      <c r="B113" s="8" t="s">
        <v>555</v>
      </c>
      <c r="C113" s="8" t="s">
        <v>720</v>
      </c>
      <c r="D113" s="8">
        <v>0.26200000000000001</v>
      </c>
      <c r="E113" s="8">
        <v>5.24</v>
      </c>
      <c r="F113" s="8" t="s">
        <v>659</v>
      </c>
      <c r="G113" s="8">
        <v>17</v>
      </c>
      <c r="H113" s="8">
        <v>4.4539999999999997</v>
      </c>
      <c r="I113" s="8" t="s">
        <v>877</v>
      </c>
      <c r="J113" s="8" t="s">
        <v>12</v>
      </c>
      <c r="K113" s="8" t="s">
        <v>14</v>
      </c>
      <c r="L113" s="8" t="s">
        <v>969</v>
      </c>
    </row>
    <row r="114" spans="1:12" x14ac:dyDescent="0.2">
      <c r="A114" s="8" t="s">
        <v>33</v>
      </c>
      <c r="B114" s="8" t="s">
        <v>556</v>
      </c>
      <c r="C114" s="8" t="s">
        <v>721</v>
      </c>
      <c r="D114" s="8">
        <v>0.153</v>
      </c>
      <c r="E114" s="8">
        <v>3.06</v>
      </c>
      <c r="F114" s="8" t="s">
        <v>659</v>
      </c>
      <c r="G114" s="8">
        <v>17</v>
      </c>
      <c r="H114" s="8">
        <v>2.601</v>
      </c>
      <c r="I114" s="8" t="s">
        <v>878</v>
      </c>
      <c r="J114" s="8" t="s">
        <v>12</v>
      </c>
      <c r="K114" s="8" t="s">
        <v>14</v>
      </c>
      <c r="L114" s="8" t="s">
        <v>969</v>
      </c>
    </row>
    <row r="115" spans="1:12" x14ac:dyDescent="0.2">
      <c r="A115" s="8" t="s">
        <v>73</v>
      </c>
      <c r="B115" s="8" t="s">
        <v>557</v>
      </c>
      <c r="C115" s="8" t="s">
        <v>722</v>
      </c>
      <c r="D115" s="8">
        <v>0.152</v>
      </c>
      <c r="E115" s="8">
        <v>3.04</v>
      </c>
      <c r="F115" s="8" t="s">
        <v>659</v>
      </c>
      <c r="G115" s="8">
        <v>17</v>
      </c>
      <c r="H115" s="8">
        <v>2.5840000000000001</v>
      </c>
      <c r="I115" s="8" t="s">
        <v>879</v>
      </c>
      <c r="J115" s="8" t="s">
        <v>12</v>
      </c>
      <c r="K115" s="8" t="s">
        <v>14</v>
      </c>
      <c r="L115" s="8" t="s">
        <v>969</v>
      </c>
    </row>
    <row r="116" spans="1:12" x14ac:dyDescent="0.2">
      <c r="A116" s="8" t="s">
        <v>190</v>
      </c>
      <c r="B116" s="8" t="s">
        <v>558</v>
      </c>
      <c r="C116" s="8" t="s">
        <v>726</v>
      </c>
      <c r="D116" s="8">
        <v>0.20699999999999999</v>
      </c>
      <c r="E116" s="8">
        <v>4.1399999999999997</v>
      </c>
      <c r="F116" s="8" t="s">
        <v>659</v>
      </c>
      <c r="G116" s="8">
        <v>17</v>
      </c>
      <c r="H116" s="8">
        <v>3.5190000000000001</v>
      </c>
      <c r="I116" s="8" t="s">
        <v>883</v>
      </c>
      <c r="J116" s="8" t="s">
        <v>12</v>
      </c>
      <c r="K116" s="8" t="s">
        <v>14</v>
      </c>
      <c r="L116" s="8" t="s">
        <v>969</v>
      </c>
    </row>
    <row r="117" spans="1:12" x14ac:dyDescent="0.2">
      <c r="A117" s="8" t="s">
        <v>53</v>
      </c>
      <c r="B117" s="8" t="s">
        <v>559</v>
      </c>
      <c r="C117" s="8" t="s">
        <v>505</v>
      </c>
      <c r="D117" s="8">
        <v>9.1300000000000006E-2</v>
      </c>
      <c r="E117" s="8">
        <v>1.8260000000000001</v>
      </c>
      <c r="F117" s="8" t="s">
        <v>659</v>
      </c>
      <c r="G117" s="8">
        <v>17</v>
      </c>
      <c r="H117" s="8">
        <v>1.5521</v>
      </c>
      <c r="I117" s="8" t="s">
        <v>886</v>
      </c>
      <c r="J117" s="8" t="s">
        <v>12</v>
      </c>
      <c r="K117" s="8" t="s">
        <v>14</v>
      </c>
      <c r="L117" s="8" t="s">
        <v>969</v>
      </c>
    </row>
    <row r="118" spans="1:12" x14ac:dyDescent="0.2">
      <c r="A118" s="8" t="s">
        <v>59</v>
      </c>
      <c r="B118" s="8" t="s">
        <v>560</v>
      </c>
      <c r="C118" s="8" t="s">
        <v>729</v>
      </c>
      <c r="D118" s="8">
        <v>0.158</v>
      </c>
      <c r="E118" s="8">
        <v>3.16</v>
      </c>
      <c r="F118" s="8" t="s">
        <v>659</v>
      </c>
      <c r="G118" s="8">
        <v>17</v>
      </c>
      <c r="H118" s="8">
        <v>2.6859999999999999</v>
      </c>
      <c r="I118" s="8" t="s">
        <v>888</v>
      </c>
      <c r="J118" s="8" t="s">
        <v>12</v>
      </c>
      <c r="K118" s="8" t="s">
        <v>14</v>
      </c>
      <c r="L118" s="8" t="s">
        <v>969</v>
      </c>
    </row>
    <row r="119" spans="1:12" x14ac:dyDescent="0.2">
      <c r="A119" s="8" t="s">
        <v>25</v>
      </c>
      <c r="B119" s="8" t="s">
        <v>561</v>
      </c>
      <c r="C119" s="8" t="s">
        <v>730</v>
      </c>
      <c r="D119" s="8">
        <v>6.6000000000000003E-2</v>
      </c>
      <c r="E119" s="8">
        <v>1.32</v>
      </c>
      <c r="F119" s="8" t="s">
        <v>659</v>
      </c>
      <c r="G119" s="8">
        <v>17</v>
      </c>
      <c r="H119" s="8">
        <v>1.1220000000000001</v>
      </c>
      <c r="I119" s="8" t="s">
        <v>889</v>
      </c>
      <c r="J119" s="8" t="s">
        <v>12</v>
      </c>
      <c r="K119" s="8" t="s">
        <v>14</v>
      </c>
      <c r="L119" s="8" t="s">
        <v>969</v>
      </c>
    </row>
    <row r="120" spans="1:12" x14ac:dyDescent="0.2">
      <c r="A120" s="8" t="s">
        <v>71</v>
      </c>
      <c r="B120" s="8" t="s">
        <v>564</v>
      </c>
      <c r="C120" s="8" t="s">
        <v>733</v>
      </c>
      <c r="D120" s="8">
        <v>0.12</v>
      </c>
      <c r="E120" s="8">
        <v>2.4</v>
      </c>
      <c r="F120" s="8" t="s">
        <v>659</v>
      </c>
      <c r="G120" s="8">
        <v>17</v>
      </c>
      <c r="H120" s="8">
        <v>2.04</v>
      </c>
      <c r="I120" s="8" t="s">
        <v>892</v>
      </c>
      <c r="J120" s="8" t="s">
        <v>12</v>
      </c>
      <c r="K120" s="8" t="s">
        <v>14</v>
      </c>
      <c r="L120" s="8" t="s">
        <v>969</v>
      </c>
    </row>
    <row r="121" spans="1:12" x14ac:dyDescent="0.2">
      <c r="A121" s="8" t="s">
        <v>23</v>
      </c>
      <c r="B121" s="8" t="s">
        <v>565</v>
      </c>
      <c r="C121" s="8" t="s">
        <v>734</v>
      </c>
      <c r="D121" s="8">
        <v>0.14099999999999999</v>
      </c>
      <c r="E121" s="8">
        <v>2.82</v>
      </c>
      <c r="F121" s="8" t="s">
        <v>659</v>
      </c>
      <c r="G121" s="8">
        <v>17</v>
      </c>
      <c r="H121" s="8">
        <v>2.3969999999999998</v>
      </c>
      <c r="I121" s="8" t="s">
        <v>893</v>
      </c>
      <c r="J121" s="8" t="s">
        <v>12</v>
      </c>
      <c r="K121" s="8" t="s">
        <v>14</v>
      </c>
      <c r="L121" s="8" t="s">
        <v>969</v>
      </c>
    </row>
    <row r="122" spans="1:12" x14ac:dyDescent="0.2">
      <c r="A122" s="8" t="s">
        <v>193</v>
      </c>
      <c r="B122" s="8" t="s">
        <v>569</v>
      </c>
      <c r="C122" s="8" t="s">
        <v>741</v>
      </c>
      <c r="D122" s="8">
        <v>0.20799999999999999</v>
      </c>
      <c r="E122" s="8">
        <v>4.16</v>
      </c>
      <c r="F122" s="8" t="s">
        <v>659</v>
      </c>
      <c r="G122" s="8">
        <v>17</v>
      </c>
      <c r="H122" s="8">
        <v>3.536</v>
      </c>
      <c r="I122" s="8" t="s">
        <v>900</v>
      </c>
      <c r="J122" s="8" t="s">
        <v>12</v>
      </c>
      <c r="K122" s="8" t="s">
        <v>14</v>
      </c>
      <c r="L122" s="8" t="s">
        <v>969</v>
      </c>
    </row>
    <row r="123" spans="1:12" x14ac:dyDescent="0.2">
      <c r="A123" s="8" t="s">
        <v>47</v>
      </c>
      <c r="B123" s="8" t="s">
        <v>571</v>
      </c>
      <c r="C123" s="8" t="s">
        <v>744</v>
      </c>
      <c r="D123" s="8">
        <v>0.18099999999999999</v>
      </c>
      <c r="E123" s="8">
        <v>3.62</v>
      </c>
      <c r="F123" s="8" t="s">
        <v>659</v>
      </c>
      <c r="G123" s="8">
        <v>17</v>
      </c>
      <c r="H123" s="8">
        <v>3.077</v>
      </c>
      <c r="I123" s="8" t="s">
        <v>903</v>
      </c>
      <c r="J123" s="8" t="s">
        <v>12</v>
      </c>
      <c r="K123" s="8" t="s">
        <v>14</v>
      </c>
      <c r="L123" s="8" t="s">
        <v>969</v>
      </c>
    </row>
    <row r="124" spans="1:12" x14ac:dyDescent="0.2">
      <c r="A124" s="8" t="s">
        <v>208</v>
      </c>
      <c r="B124" s="8" t="s">
        <v>572</v>
      </c>
      <c r="C124" s="8" t="s">
        <v>749</v>
      </c>
      <c r="D124" s="8">
        <v>0.14199999999999999</v>
      </c>
      <c r="E124" s="8">
        <v>2.84</v>
      </c>
      <c r="F124" s="8" t="s">
        <v>659</v>
      </c>
      <c r="G124" s="8">
        <v>17</v>
      </c>
      <c r="H124" s="8">
        <v>2.4140000000000001</v>
      </c>
      <c r="I124" s="8" t="s">
        <v>908</v>
      </c>
      <c r="J124" s="8" t="s">
        <v>12</v>
      </c>
      <c r="K124" s="8" t="s">
        <v>14</v>
      </c>
      <c r="L124" s="8" t="s">
        <v>969</v>
      </c>
    </row>
    <row r="125" spans="1:12" x14ac:dyDescent="0.2">
      <c r="A125" s="8" t="s">
        <v>196</v>
      </c>
      <c r="B125" s="8" t="s">
        <v>573</v>
      </c>
      <c r="C125" s="8" t="s">
        <v>750</v>
      </c>
      <c r="D125" s="8">
        <v>9.1300000000000006E-2</v>
      </c>
      <c r="E125" s="8">
        <v>1.8260000000000001</v>
      </c>
      <c r="F125" s="8" t="s">
        <v>659</v>
      </c>
      <c r="G125" s="8">
        <v>17</v>
      </c>
      <c r="H125" s="8">
        <v>1.5521</v>
      </c>
      <c r="I125" s="8" t="s">
        <v>909</v>
      </c>
      <c r="J125" s="8" t="s">
        <v>12</v>
      </c>
      <c r="K125" s="8" t="s">
        <v>14</v>
      </c>
      <c r="L125" s="8" t="s">
        <v>969</v>
      </c>
    </row>
    <row r="126" spans="1:12" x14ac:dyDescent="0.2">
      <c r="A126" s="8" t="s">
        <v>199</v>
      </c>
      <c r="B126" s="8" t="s">
        <v>576</v>
      </c>
      <c r="C126" s="8" t="s">
        <v>753</v>
      </c>
      <c r="D126" s="8">
        <v>0.11</v>
      </c>
      <c r="E126" s="8">
        <v>2.2000000000000002</v>
      </c>
      <c r="F126" s="8" t="s">
        <v>659</v>
      </c>
      <c r="G126" s="8">
        <v>17</v>
      </c>
      <c r="H126" s="8">
        <v>1.87</v>
      </c>
      <c r="I126" s="8" t="s">
        <v>912</v>
      </c>
      <c r="J126" s="8" t="s">
        <v>12</v>
      </c>
      <c r="K126" s="8" t="s">
        <v>14</v>
      </c>
      <c r="L126" s="8" t="s">
        <v>969</v>
      </c>
    </row>
    <row r="127" spans="1:12" x14ac:dyDescent="0.2">
      <c r="A127" s="8" t="s">
        <v>27</v>
      </c>
      <c r="B127" s="8" t="s">
        <v>577</v>
      </c>
      <c r="C127" s="8" t="s">
        <v>754</v>
      </c>
      <c r="D127" s="8">
        <v>9.3299999999999994E-2</v>
      </c>
      <c r="E127" s="8">
        <v>1.8660000000000001</v>
      </c>
      <c r="F127" s="8" t="s">
        <v>659</v>
      </c>
      <c r="G127" s="8">
        <v>17</v>
      </c>
      <c r="H127" s="8">
        <v>1.5861000000000001</v>
      </c>
      <c r="I127" s="8" t="s">
        <v>913</v>
      </c>
      <c r="J127" s="8" t="s">
        <v>12</v>
      </c>
      <c r="K127" s="8" t="s">
        <v>14</v>
      </c>
      <c r="L127" s="8" t="s">
        <v>969</v>
      </c>
    </row>
    <row r="128" spans="1:12" x14ac:dyDescent="0.2">
      <c r="A128" s="8" t="s">
        <v>172</v>
      </c>
      <c r="B128" s="8" t="s">
        <v>578</v>
      </c>
      <c r="C128" s="8" t="s">
        <v>755</v>
      </c>
      <c r="D128" s="8">
        <v>0.115</v>
      </c>
      <c r="E128" s="8">
        <v>2.2999999999999998</v>
      </c>
      <c r="F128" s="8" t="s">
        <v>659</v>
      </c>
      <c r="G128" s="8">
        <v>17</v>
      </c>
      <c r="H128" s="8">
        <v>1.9550000000000001</v>
      </c>
      <c r="I128" s="8" t="s">
        <v>914</v>
      </c>
      <c r="J128" s="8" t="s">
        <v>12</v>
      </c>
      <c r="K128" s="8" t="s">
        <v>14</v>
      </c>
      <c r="L128" s="8" t="s">
        <v>969</v>
      </c>
    </row>
    <row r="129" spans="1:12" x14ac:dyDescent="0.2">
      <c r="A129" s="8" t="s">
        <v>16</v>
      </c>
      <c r="B129" s="8" t="s">
        <v>580</v>
      </c>
      <c r="C129" s="8" t="s">
        <v>757</v>
      </c>
      <c r="D129" s="8">
        <v>0.09</v>
      </c>
      <c r="E129" s="8">
        <v>1.8</v>
      </c>
      <c r="F129" s="8" t="s">
        <v>659</v>
      </c>
      <c r="G129" s="8">
        <v>17</v>
      </c>
      <c r="H129" s="8">
        <v>1.53</v>
      </c>
      <c r="I129" s="8" t="s">
        <v>916</v>
      </c>
      <c r="J129" s="8" t="s">
        <v>12</v>
      </c>
      <c r="K129" s="8" t="s">
        <v>14</v>
      </c>
      <c r="L129" s="8" t="s">
        <v>969</v>
      </c>
    </row>
    <row r="130" spans="1:12" x14ac:dyDescent="0.2">
      <c r="A130" s="8" t="s">
        <v>187</v>
      </c>
      <c r="B130" s="8" t="s">
        <v>581</v>
      </c>
      <c r="C130" s="8" t="s">
        <v>758</v>
      </c>
      <c r="D130" s="8">
        <v>6.5299999999999997E-2</v>
      </c>
      <c r="E130" s="8">
        <v>1.306</v>
      </c>
      <c r="F130" s="8" t="s">
        <v>659</v>
      </c>
      <c r="G130" s="8">
        <v>17</v>
      </c>
      <c r="H130" s="8">
        <v>1.1101000000000001</v>
      </c>
      <c r="I130" s="8" t="s">
        <v>917</v>
      </c>
      <c r="J130" s="8" t="s">
        <v>12</v>
      </c>
      <c r="K130" s="8" t="s">
        <v>14</v>
      </c>
      <c r="L130" s="8" t="s">
        <v>969</v>
      </c>
    </row>
    <row r="131" spans="1:12" x14ac:dyDescent="0.2">
      <c r="A131" s="8" t="s">
        <v>63</v>
      </c>
      <c r="B131" s="8" t="s">
        <v>586</v>
      </c>
      <c r="C131" s="8" t="s">
        <v>768</v>
      </c>
      <c r="D131" s="8">
        <v>0.17100000000000001</v>
      </c>
      <c r="E131" s="8">
        <v>3.42</v>
      </c>
      <c r="F131" s="8" t="s">
        <v>659</v>
      </c>
      <c r="G131" s="8">
        <v>17</v>
      </c>
      <c r="H131" s="8">
        <v>2.907</v>
      </c>
      <c r="I131" s="8" t="s">
        <v>929</v>
      </c>
      <c r="J131" s="8" t="s">
        <v>12</v>
      </c>
      <c r="K131" s="8" t="s">
        <v>14</v>
      </c>
      <c r="L131" s="8" t="s">
        <v>969</v>
      </c>
    </row>
    <row r="132" spans="1:12" x14ac:dyDescent="0.2">
      <c r="A132" s="8" t="s">
        <v>29</v>
      </c>
      <c r="B132" s="8" t="s">
        <v>588</v>
      </c>
      <c r="C132" s="8" t="s">
        <v>771</v>
      </c>
      <c r="D132" s="8">
        <v>0.10100000000000001</v>
      </c>
      <c r="E132" s="8">
        <v>2.02</v>
      </c>
      <c r="F132" s="8" t="s">
        <v>659</v>
      </c>
      <c r="G132" s="8">
        <v>17</v>
      </c>
      <c r="H132" s="8">
        <v>1.7170000000000001</v>
      </c>
      <c r="I132" s="8" t="s">
        <v>932</v>
      </c>
      <c r="J132" s="8" t="s">
        <v>12</v>
      </c>
      <c r="K132" s="8" t="s">
        <v>14</v>
      </c>
      <c r="L132" s="8" t="s">
        <v>969</v>
      </c>
    </row>
    <row r="133" spans="1:12" x14ac:dyDescent="0.2">
      <c r="A133" s="8" t="s">
        <v>175</v>
      </c>
      <c r="B133" s="8" t="s">
        <v>590</v>
      </c>
      <c r="C133" s="8" t="s">
        <v>775</v>
      </c>
      <c r="D133" s="8">
        <v>0.13300000000000001</v>
      </c>
      <c r="E133" s="8">
        <v>2.66</v>
      </c>
      <c r="F133" s="8" t="s">
        <v>659</v>
      </c>
      <c r="G133" s="8">
        <v>17</v>
      </c>
      <c r="H133" s="8">
        <v>2.2610000000000001</v>
      </c>
      <c r="I133" s="8" t="s">
        <v>936</v>
      </c>
      <c r="J133" s="8" t="s">
        <v>12</v>
      </c>
      <c r="K133" s="8" t="s">
        <v>14</v>
      </c>
      <c r="L133" s="8" t="s">
        <v>969</v>
      </c>
    </row>
    <row r="134" spans="1:12" x14ac:dyDescent="0.2">
      <c r="A134" s="8" t="s">
        <v>55</v>
      </c>
      <c r="B134" s="8" t="s">
        <v>591</v>
      </c>
      <c r="C134" s="8" t="s">
        <v>778</v>
      </c>
      <c r="D134" s="8">
        <v>0.107</v>
      </c>
      <c r="E134" s="8">
        <v>2.14</v>
      </c>
      <c r="F134" s="8" t="s">
        <v>659</v>
      </c>
      <c r="G134" s="8">
        <v>17</v>
      </c>
      <c r="H134" s="8">
        <v>1.819</v>
      </c>
      <c r="I134" s="8" t="s">
        <v>939</v>
      </c>
      <c r="J134" s="8" t="s">
        <v>12</v>
      </c>
      <c r="K134" s="8" t="s">
        <v>14</v>
      </c>
      <c r="L134" s="8" t="s">
        <v>969</v>
      </c>
    </row>
    <row r="135" spans="1:12" x14ac:dyDescent="0.2">
      <c r="A135" s="8" t="s">
        <v>31</v>
      </c>
      <c r="B135" s="8" t="s">
        <v>594</v>
      </c>
      <c r="C135" s="8" t="s">
        <v>784</v>
      </c>
      <c r="D135" s="8">
        <v>9.4700000000000006E-2</v>
      </c>
      <c r="E135" s="8">
        <v>1.8939999999999999</v>
      </c>
      <c r="F135" s="8" t="s">
        <v>659</v>
      </c>
      <c r="G135" s="8">
        <v>17</v>
      </c>
      <c r="H135" s="8">
        <v>1.6099000000000001</v>
      </c>
      <c r="I135" s="8" t="s">
        <v>945</v>
      </c>
      <c r="J135" s="8" t="s">
        <v>12</v>
      </c>
      <c r="K135" s="8" t="s">
        <v>14</v>
      </c>
      <c r="L135" s="8" t="s">
        <v>969</v>
      </c>
    </row>
  </sheetData>
  <sortState xmlns:xlrd2="http://schemas.microsoft.com/office/spreadsheetml/2017/richdata2" ref="A2:L135">
    <sortCondition ref="L2:L1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ConsolidatedSampleManifest</vt:lpstr>
      <vt:lpstr>Rand.ConsolidatedSampleManifest</vt:lpstr>
      <vt:lpstr>Batch1</vt:lpstr>
      <vt:lpstr>Batch2</vt:lpstr>
      <vt:lpstr>Batch3</vt:lpstr>
      <vt:lpstr>Batch4</vt:lpstr>
      <vt:lpstr>Batch5</vt:lpstr>
      <vt:lpstr>Batch6</vt:lpstr>
      <vt:lpstr>AllBatchesQubitQuant</vt:lpstr>
      <vt:lpstr>AllBatchesSizeSelection_1218202</vt:lpstr>
      <vt:lpstr>LibraryPrepSubmission</vt:lpstr>
      <vt:lpstr>SamplesToTraces</vt:lpstr>
      <vt:lpstr>LibraryIDsToSampleInfo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LoganWilliams</dc:creator>
  <cp:lastModifiedBy>Logan Allan Williams</cp:lastModifiedBy>
  <dcterms:created xsi:type="dcterms:W3CDTF">2025-10-01T20:23:51Z</dcterms:created>
  <dcterms:modified xsi:type="dcterms:W3CDTF">2026-02-25T22:34:06Z</dcterms:modified>
</cp:coreProperties>
</file>